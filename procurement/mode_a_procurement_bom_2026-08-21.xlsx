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4a7518c24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5c4ac21fb914445"/>
    <x:sheet xmlns:r="http://schemas.openxmlformats.org/officeDocument/2006/relationships" name="Order Now" sheetId="2" r:id="Rf79779430ebf4978"/>
    <x:sheet xmlns:r="http://schemas.openxmlformats.org/officeDocument/2006/relationships" name="Conditional" sheetId="3" r:id="R23e956d44e3749db"/>
    <x:sheet xmlns:r="http://schemas.openxmlformats.org/officeDocument/2006/relationships" name="RFQ &amp; Holds" sheetId="4" r:id="Rb08b1807cf7e4b60"/>
    <x:sheet xmlns:r="http://schemas.openxmlformats.org/officeDocument/2006/relationships" name="Supplier Carts" sheetId="5" r:id="Rf1e99c1512f04f10"/>
    <x:sheet xmlns:r="http://schemas.openxmlformats.org/officeDocument/2006/relationships" name="Owned &amp; Printed" sheetId="6" r:id="R2b230ada690040fc"/>
    <x:sheet xmlns:r="http://schemas.openxmlformats.org/officeDocument/2006/relationships" name="Sources" sheetId="7" r:id="R0f749c71e06141a0"/>
    <x:sheet xmlns:r="http://schemas.openxmlformats.org/officeDocument/2006/relationships" name="Order Links" sheetId="8" r:id="R2cec2c7177754d4e"/>
    <x:sheet xmlns:r="http://schemas.openxmlformats.org/officeDocument/2006/relationships" name="Status &amp; Gaps" sheetId="9" r:id="Ra3d9622be4b6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yyyy-mm-dd"/>
    <x:numFmt numFmtId="202" formatCode="0"/>
  </x:numFmts>
  <x:fonts count="5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C6773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10"/>
      <x:color rgb="FF207A4B"/>
      <x:name val="Carlito"/>
    </x:font>
    <x:font>
      <x:b/>
      <x:sz val="9"/>
      <x:color rgb="FF0563C1"/>
      <x:name val="Carlito"/>
    </x:font>
    <x:font>
      <x:b/>
      <x:sz val="10"/>
      <x:color rgb="FF8A4A00"/>
      <x:name val="Carlito"/>
    </x:font>
    <x:font>
      <x:b/>
      <x:sz val="9"/>
      <x:color rgb="FFB42318"/>
      <x:name val="Carlito"/>
    </x:font>
    <x:font>
      <x:sz val="9"/>
      <x:color rgb="FF0563C1"/>
      <x:name val="Carlito"/>
    </x:font>
    <x:font>
      <x:b/>
      <x:sz val="11"/>
      <x:color rgb="FF207A4B"/>
      <x:name val="Carlito"/>
    </x:font>
    <x:font>
      <x:b/>
      <x:sz val="22"/>
      <x:color rgb="FF207A4B"/>
      <x:name val="Carlito"/>
    </x:font>
    <x:font>
      <x:b/>
      <x:sz val="11"/>
      <x:color rgb="FF8A4A00"/>
      <x:name val="Carlito"/>
    </x:font>
    <x:font>
      <x:b/>
      <x:sz val="22"/>
      <x:color rgb="FF8A4A00"/>
      <x:name val="Carlito"/>
    </x:font>
    <x:font>
      <x:b/>
      <x:sz val="11"/>
      <x:color rgb="FFB42318"/>
      <x:name val="Carlito"/>
    </x:font>
    <x:font>
      <x:b/>
      <x:sz val="18"/>
      <x:color rgb="FFB42318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2"/>
      <x:color rgb="FFFFFFFF"/>
      <x:name val="Carlito"/>
    </x:font>
    <x:font>
      <x:b/>
      <x:sz val="10"/>
      <x:color rgb="FF17324D"/>
      <x:name val="Carlito"/>
    </x:font>
    <x:font>
      <x:sz val="10"/>
      <x:color rgb="FF6E4200"/>
      <x:name val="Carlito"/>
    </x:font>
    <x:font>
      <x:sz val="10"/>
      <x:color rgb="FF17324D"/>
      <x:name val="Carlito"/>
    </x:font>
    <x:font>
      <x:b/>
      <x:sz val="18"/>
      <x:color rgb="FFFFFFFF"/>
      <x:name val="Aptos"/>
    </x:font>
    <x:font>
      <x:i/>
      <x:sz val="10"/>
      <x:color rgb="FF5C6773"/>
      <x:name val="Aptos"/>
    </x:font>
    <x:font>
      <x:sz val="11"/>
      <x:name val="Aptos"/>
    </x:font>
    <x:font>
      <x:b/>
      <x:sz val="11"/>
      <x:color rgb="FF207A4B"/>
      <x:name val="Aptos"/>
    </x:font>
    <x:font>
      <x:b/>
      <x:sz val="11"/>
      <x:color rgb="FF8A4A00"/>
      <x:name val="Aptos"/>
    </x:font>
    <x:font>
      <x:b/>
      <x:sz val="11"/>
      <x:color rgb="FFB42318"/>
      <x:name val="Aptos"/>
    </x:font>
    <x:font>
      <x:b/>
      <x:sz val="22"/>
      <x:color rgb="FF207A4B"/>
      <x:name val="Aptos"/>
    </x:font>
    <x:font>
      <x:b/>
      <x:sz val="22"/>
      <x:color rgb="FF8A4A00"/>
      <x:name val="Aptos"/>
    </x:font>
    <x:font>
      <x:b/>
      <x:sz val="18"/>
      <x:color rgb="FFB42318"/>
      <x:name val="Aptos"/>
    </x:font>
    <x:font>
      <x:b/>
      <x:sz val="11"/>
      <x:color rgb="FFFFFFFF"/>
      <x:name val="Aptos"/>
    </x:font>
    <x:font>
      <x:b/>
      <x:sz val="12"/>
      <x:color rgb="FFFFFFFF"/>
      <x:name val="Aptos"/>
    </x:font>
    <x:font>
      <x:b/>
      <x:sz val="10"/>
      <x:color rgb="FF17324D"/>
      <x:name val="Aptos"/>
    </x:font>
    <x:font>
      <x:sz val="10"/>
      <x:color rgb="FF17212B"/>
      <x:name val="Aptos"/>
    </x:font>
    <x:font>
      <x:sz val="10"/>
      <x:color rgb="FF6E4200"/>
      <x:name val="Aptos"/>
    </x:font>
    <x:font>
      <x:sz val="10"/>
      <x:color rgb="FF17324D"/>
      <x:name val="Aptos"/>
    </x:font>
    <x:font>
      <x:b/>
      <x:sz val="10"/>
      <x:color rgb="FFFFFFFF"/>
      <x:name val="Aptos"/>
    </x:font>
    <x:font>
      <x:sz val="9"/>
      <x:color rgb="FF17212B"/>
      <x:name val="Aptos"/>
    </x:font>
    <x:font>
      <x:b/>
      <x:sz val="9"/>
      <x:color rgb="FF0563C1"/>
      <x:name val="Aptos"/>
    </x:font>
    <x:font>
      <x:b/>
      <x:sz val="10"/>
      <x:color rgb="FF207A4B"/>
      <x:name val="Aptos"/>
    </x:font>
    <x:font>
      <x:b/>
      <x:sz val="10"/>
      <x:color rgb="FF8A4A00"/>
      <x:name val="Aptos"/>
    </x:font>
    <x:font>
      <x:b/>
      <x:sz val="9"/>
      <x:color rgb="FFB42318"/>
      <x:name val="Aptos"/>
    </x:font>
    <x:font>
      <x:sz val="9"/>
      <x:color rgb="FF0563C1"/>
      <x:name val="Aptos"/>
    </x:font>
    <x:font>
      <x:b/>
      <x:sz val="9"/>
      <x:color rgb="FF173A5E"/>
      <x:name val="Aptos"/>
    </x:font>
    <x:font>
      <x:b/>
      <x:sz val="9"/>
      <x:color rgb="FF217346"/>
      <x:name val="Aptos"/>
    </x:font>
    <x:font>
      <x:b/>
      <x:sz val="9"/>
      <x:color rgb="FFB3261E"/>
      <x:name val="Aptos"/>
    </x:font>
    <x:font>
      <x:sz val="9"/>
      <x:color rgb="FF213547"/>
      <x:name val="Aptos"/>
    </x:font>
    <x:font>
      <x:sz val="11"/>
      <x:color rgb="FF213547"/>
      <x:name val="Carlito"/>
    </x:font>
    <x:font>
      <x:i/>
      <x:sz val="11"/>
      <x:color rgb="FF5F6B76"/>
      <x:name val="Carlito"/>
    </x:font>
    <x:font>
      <x:b/>
      <x:sz val="11"/>
      <x:color rgb="FF213547"/>
      <x:name val="Carlito"/>
    </x:font>
    <x:font>
      <x:b/>
      <x:sz val="11"/>
      <x:color rgb="FFB3261E"/>
      <x:name val="Carlito"/>
    </x:font>
    <x:font>
      <x:b/>
      <x:sz val="11"/>
      <x:color rgb="FFA65A00"/>
      <x:name val="Carlito"/>
    </x:font>
    <x:font>
      <x:b/>
      <x:sz val="11"/>
      <x:color rgb="FF217346"/>
      <x:name val="Carlito"/>
    </x:font>
    <x:font>
      <x:sz val="11"/>
      <x:color rgb="FF17212B"/>
      <x:name val="Carlito"/>
    </x:font>
    <x:font>
      <x:b/>
      <x:sz val="11"/>
      <x:color rgb="FFC62828"/>
      <x:name val="Carlito"/>
    </x:font>
    <x:font>
      <x:sz val="11"/>
      <x:color rgb="FF33495E"/>
      <x:name val="Carlito"/>
    </x:font>
    <x:font>
      <x:b/>
      <x:sz val="11"/>
      <x:color rgb="FF17212B"/>
      <x:name val="Carlito"/>
    </x:font>
    <x:font>
      <x:b/>
      <x:sz val="11"/>
      <x:color rgb="FF33495E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007F7B"/>
      </x:patternFill>
    </x:fill>
    <x:fill>
      <x:patternFill patternType="solid">
        <x:fgColor rgb="FFE4F4EA"/>
      </x:patternFill>
    </x:fill>
    <x:fill>
      <x:patternFill patternType="solid">
        <x:fgColor rgb="FFFFF1DE"/>
      </x:patternFill>
    </x:fill>
    <x:fill>
      <x:patternFill patternType="solid">
        <x:fgColor rgb="FFFDE7E4"/>
      </x:patternFill>
    </x:fill>
    <x:fill>
      <x:patternFill patternType="solid">
        <x:fgColor rgb="FFF3F5F7"/>
      </x:patternFill>
    </x:fill>
    <x:fill>
      <x:patternFill patternType="solid">
        <x:fgColor rgb="FFF29F3D"/>
      </x:patternFill>
    </x:fill>
    <x:fill>
      <x:patternFill patternType="solid">
        <x:fgColor rgb="FFEAF2F8"/>
      </x:patternFill>
    </x:fill>
    <x:fill>
      <x:patternFill patternType="solid">
        <x:fgColor rgb="FFE6F4EA"/>
      </x:patternFill>
    </x:fill>
    <x:fill>
      <x:patternFill patternType="solid">
        <x:fgColor rgb="FFFCE8E6"/>
      </x:patternFill>
    </x:fill>
    <x:fill>
      <x:patternFill patternType="solid">
        <x:fgColor rgb="FFF1F3F5"/>
      </x:patternFill>
    </x:fill>
    <x:fill>
      <x:patternFill patternType="solid">
        <x:fgColor rgb="FFFFFFFF"/>
      </x:patternFill>
    </x:fill>
    <x:fill>
      <x:patternFill patternType="solid">
        <x:fgColor rgb="FF173A5E"/>
      </x:patternFill>
    </x:fill>
    <x:fill>
      <x:patternFill patternType="solid">
        <x:fgColor rgb="FF008C86"/>
      </x:patternFill>
    </x:fill>
    <x:fill>
      <x:patternFill patternType="solid">
        <x:fgColor rgb="FFFFF2CC"/>
      </x:patternFill>
    </x:fill>
    <x:fill>
      <x:patternFill patternType="solid">
        <x:fgColor rgb="FFE8F3EC"/>
      </x:patternFill>
    </x:fill>
    <x:fill>
      <x:patternFill patternType="solid">
        <x:fgColor rgb="FFFDE9E7"/>
      </x:patternFill>
    </x:fill>
    <x:fill>
      <x:patternFill patternType="solid">
        <x:fgColor rgb="FFBFE4F3"/>
      </x:patternFill>
    </x:fill>
    <x:fill>
      <x:patternFill patternType="solid">
        <x:fgColor rgb="FFEAF2F8"/>
      </x:patternFill>
    </x:fill>
    <x:fill>
      <x:patternFill patternType="solid">
        <x:fgColor rgb="FFE8F3EC"/>
      </x:patternFill>
    </x:fill>
    <x:fill>
      <x:patternFill patternType="solid">
        <x:fgColor rgb="FFFDE9E7"/>
      </x:patternFill>
    </x:fill>
    <x:fill>
      <x:patternFill patternType="solid">
        <x:fgColor rgb="FFBFE4F3"/>
      </x:patternFill>
    </x:fill>
    <x:fill>
      <x:patternFill patternType="solid">
        <x:fgColor rgb="FFEAF2F8"/>
      </x:patternFill>
    </x:fill>
    <x:fill>
      <x:patternFill patternType="solid">
        <x:fgColor rgb="FFE8F3EC"/>
      </x:patternFill>
    </x:fill>
  </x:fills>
  <x:borders count="23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medium">
        <x:color rgb="FF207A4B"/>
      </x:left>
      <x:right style="medium">
        <x:color rgb="FF207A4B"/>
      </x:right>
      <x:top style="medium">
        <x:color rgb="FF207A4B"/>
      </x:top>
      <x:bottom style="medium">
        <x:color rgb="FF207A4B"/>
      </x:bottom>
    </x:border>
    <x:border>
      <x:left style="medium">
        <x:color rgb="FFF29F3D"/>
      </x:left>
      <x:right style="medium">
        <x:color rgb="FFF29F3D"/>
      </x:right>
      <x:top style="medium">
        <x:color rgb="FFF29F3D"/>
      </x:top>
      <x:bottom style="medium">
        <x:color rgb="FFF29F3D"/>
      </x:bottom>
    </x:border>
    <x:border>
      <x:left style="medium">
        <x:color rgb="FF207A4B"/>
      </x:left>
      <x:top style="medium">
        <x:color rgb="FF207A4B"/>
      </x:top>
    </x:border>
    <x:border>
      <x:right style="medium">
        <x:color rgb="FF207A4B"/>
      </x:right>
      <x:top style="medium">
        <x:color rgb="FF207A4B"/>
      </x:top>
    </x:border>
    <x:border>
      <x:left style="medium">
        <x:color rgb="FF207A4B"/>
      </x:left>
    </x:border>
    <x:border>
      <x:right style="medium">
        <x:color rgb="FF207A4B"/>
      </x:right>
    </x:border>
    <x:border>
      <x:left style="medium">
        <x:color rgb="FF207A4B"/>
      </x:left>
      <x:bottom style="medium">
        <x:color rgb="FF207A4B"/>
      </x:bottom>
    </x:border>
    <x:border>
      <x:right style="medium">
        <x:color rgb="FF207A4B"/>
      </x:right>
      <x:bottom style="medium">
        <x:color rgb="FF207A4B"/>
      </x:bottom>
    </x:border>
    <x:border>
      <x:left style="medium">
        <x:color rgb="FFF29F3D"/>
      </x:left>
      <x:top style="medium">
        <x:color rgb="FFF29F3D"/>
      </x:top>
    </x:border>
    <x:border>
      <x:right style="medium">
        <x:color rgb="FFF29F3D"/>
      </x:right>
      <x:top style="medium">
        <x:color rgb="FFF29F3D"/>
      </x:top>
    </x:border>
    <x:border>
      <x:left style="medium">
        <x:color rgb="FFF29F3D"/>
      </x:left>
    </x:border>
    <x:border>
      <x:right style="medium">
        <x:color rgb="FFF29F3D"/>
      </x:right>
    </x:border>
    <x:border>
      <x:left style="medium">
        <x:color rgb="FFF29F3D"/>
      </x:left>
      <x:bottom style="medium">
        <x:color rgb="FFF29F3D"/>
      </x:bottom>
    </x:border>
    <x:border>
      <x:right style="medium">
        <x:color rgb="FFF29F3D"/>
      </x:right>
      <x:bottom style="medium">
        <x:color rgb="FFF29F3D"/>
      </x:bottom>
    </x:border>
    <x:border>
      <x:left style="medium">
        <x:color rgb="FFB42318"/>
      </x:left>
      <x:top style="medium">
        <x:color rgb="FFB42318"/>
      </x:top>
    </x:border>
    <x:border>
      <x:right style="medium">
        <x:color rgb="FFB42318"/>
      </x:right>
      <x:top style="medium">
        <x:color rgb="FFB42318"/>
      </x:top>
    </x:border>
    <x:border>
      <x:left style="medium">
        <x:color rgb="FFB42318"/>
      </x:left>
    </x:border>
    <x:border>
      <x:right style="medium">
        <x:color rgb="FFB42318"/>
      </x:right>
    </x:border>
    <x:border>
      <x:left style="medium">
        <x:color rgb="FFB42318"/>
      </x:left>
      <x:bottom style="medium">
        <x:color rgb="FFB42318"/>
      </x:bottom>
    </x:border>
    <x:border>
      <x:right style="medium">
        <x:color rgb="FFB42318"/>
      </x:right>
      <x:bottom style="medium">
        <x:color rgb="FFB42318"/>
      </x:bottom>
    </x:border>
    <x:border>
      <x:left style="thin">
        <x:color rgb="FFC9D4DE"/>
      </x:left>
      <x:right style="thin">
        <x:color rgb="FFC9D4DE"/>
      </x:right>
      <x:top style="thin">
        <x:color rgb="FFC9D4DE"/>
      </x:top>
      <x:bottom style="thin">
        <x:color rgb="FFC9D4DE"/>
      </x:bottom>
    </x:border>
  </x:borders>
  <x:cellStyleXfs count="1">
    <x:xf numFmtId="0" fontId="0" fillId="0" borderId="0"/>
  </x:cellStyleXfs>
  <x:cellXfs count="2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vertical="center"/>
    </x:xf>
    <x:xf numFmtId="200" fontId="5" fillId="5" borderId="2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7" fillId="6" borderId="0" xfId="0" applyNumberFormat="1" applyFont="1" applyFill="1" applyBorder="1"/>
    <x:xf numFmtId="200" fontId="7" fillId="6" borderId="0" xfId="0" applyNumberFormat="1" applyFont="1" applyFill="1" applyBorder="1"/>
    <x:xf numFmtId="0" fontId="7" fillId="6" borderId="3" xfId="0" applyNumberFormat="1" applyFont="1" applyFill="1" applyBorder="1"/>
    <x:xf numFmtId="200" fontId="7" fillId="6" borderId="3" xfId="0" applyNumberFormat="1" applyFont="1" applyFill="1" applyBorder="1"/>
    <x:xf numFmtId="0" fontId="4" fillId="5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0"/>
    </x:xf>
    <x:xf numFmtId="0" fontId="9" fillId="0" borderId="1" xfId="0" applyNumberFormat="1" applyFont="1" applyFill="1" applyBorder="1" applyAlignment="1">
      <x:alignment vertical="center" wrapText="0"/>
    </x:xf>
    <x:xf numFmtId="0" fontId="10" fillId="5" borderId="0" xfId="0" applyNumberFormat="1" applyFont="1" applyFill="1" applyBorder="1"/>
    <x:xf numFmtId="0" fontId="10" fillId="5" borderId="4" xfId="0" applyNumberFormat="1" applyFont="1" applyFill="1" applyBorder="1"/>
    <x:xf numFmtId="0" fontId="1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0" fillId="5" borderId="9" xfId="0" applyNumberFormat="1" applyFont="1" applyFill="1" applyBorder="1"/>
    <x:xf numFmtId="0" fontId="10" fillId="5" borderId="4" xfId="0" applyNumberFormat="1" applyFont="1" applyFill="1" applyBorder="1" applyAlignment="1">
      <x:alignment horizontal="center"/>
    </x:xf>
    <x:xf numFmtId="0" fontId="10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0" fillId="5" borderId="9" xfId="0" applyNumberFormat="1" applyFont="1" applyFill="1" applyBorder="1" applyAlignment="1">
      <x:alignment horizontal="center"/>
    </x:xf>
    <x:xf numFmtId="0" fontId="10" fillId="5" borderId="4" xfId="0" applyNumberFormat="1" applyFont="1" applyFill="1" applyBorder="1" applyAlignment="1">
      <x:alignment horizontal="center" vertical="center"/>
    </x:xf>
    <x:xf numFmtId="0" fontId="10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1" fillId="5" borderId="9" xfId="0" applyNumberFormat="1" applyFont="1" applyFill="1" applyBorder="1" applyAlignment="1">
      <x:alignment horizontal="center" vertical="center"/>
    </x:xf>
    <x:xf numFmtId="200" fontId="11" fillId="5" borderId="6" xfId="0" applyNumberFormat="1" applyFont="1" applyFill="1" applyBorder="1" applyAlignment="1">
      <x:alignment horizontal="center" vertical="center"/>
    </x:xf>
    <x:xf numFmtId="200" fontId="11" fillId="5" borderId="7" xfId="0" applyNumberFormat="1" applyFont="1" applyFill="1" applyBorder="1" applyAlignment="1">
      <x:alignment horizontal="center" vertical="center"/>
    </x:xf>
    <x:xf numFmtId="200" fontId="11" fillId="5" borderId="8" xfId="0" applyNumberFormat="1" applyFont="1" applyFill="1" applyBorder="1" applyAlignment="1">
      <x:alignment horizontal="center" vertical="center"/>
    </x:xf>
    <x:xf numFmtId="200" fontId="11" fillId="5" borderId="9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/>
    <x:xf numFmtId="0" fontId="12" fillId="6" borderId="10" xfId="0" applyNumberFormat="1" applyFont="1" applyFill="1" applyBorder="1"/>
    <x:xf numFmtId="0" fontId="12" fillId="6" borderId="11" xfId="0" applyNumberFormat="1" applyFont="1" applyFill="1" applyBorder="1"/>
    <x:xf numFmtId="0" fontId="12" fillId="6" borderId="12" xfId="0" applyNumberFormat="1" applyFont="1" applyFill="1" applyBorder="1"/>
    <x:xf numFmtId="0" fontId="12" fillId="6" borderId="13" xfId="0" applyNumberFormat="1" applyFont="1" applyFill="1" applyBorder="1"/>
    <x:xf numFmtId="0" fontId="12" fillId="6" borderId="14" xfId="0" applyNumberFormat="1" applyFont="1" applyFill="1" applyBorder="1"/>
    <x:xf numFmtId="0" fontId="12" fillId="6" borderId="15" xfId="0" applyNumberFormat="1" applyFont="1" applyFill="1" applyBorder="1"/>
    <x:xf numFmtId="0" fontId="12" fillId="6" borderId="10" xfId="0" applyNumberFormat="1" applyFont="1" applyFill="1" applyBorder="1" applyAlignment="1">
      <x:alignment horizontal="center"/>
    </x:xf>
    <x:xf numFmtId="0" fontId="12" fillId="6" borderId="11" xfId="0" applyNumberFormat="1" applyFont="1" applyFill="1" applyBorder="1" applyAlignment="1">
      <x:alignment horizontal="center"/>
    </x:xf>
    <x:xf numFmtId="0" fontId="12" fillId="6" borderId="12" xfId="0" applyNumberFormat="1" applyFont="1" applyFill="1" applyBorder="1" applyAlignment="1">
      <x:alignment horizontal="center"/>
    </x:xf>
    <x:xf numFmtId="0" fontId="12" fillId="6" borderId="13" xfId="0" applyNumberFormat="1" applyFont="1" applyFill="1" applyBorder="1" applyAlignment="1">
      <x:alignment horizontal="center"/>
    </x:xf>
    <x:xf numFmtId="0" fontId="12" fillId="6" borderId="14" xfId="0" applyNumberFormat="1" applyFont="1" applyFill="1" applyBorder="1" applyAlignment="1">
      <x:alignment horizontal="center"/>
    </x:xf>
    <x:xf numFmtId="0" fontId="12" fillId="6" borderId="15" xfId="0" applyNumberFormat="1" applyFont="1" applyFill="1" applyBorder="1" applyAlignment="1">
      <x:alignment horizontal="center"/>
    </x:xf>
    <x:xf numFmtId="0" fontId="12" fillId="6" borderId="10" xfId="0" applyNumberFormat="1" applyFont="1" applyFill="1" applyBorder="1" applyAlignment="1">
      <x:alignment horizontal="center" vertical="center"/>
    </x:xf>
    <x:xf numFmtId="0" fontId="12" fillId="6" borderId="11" xfId="0" applyNumberFormat="1" applyFont="1" applyFill="1" applyBorder="1" applyAlignment="1">
      <x:alignment horizontal="center" vertical="center"/>
    </x:xf>
    <x:xf numFmtId="0" fontId="12" fillId="6" borderId="12" xfId="0" applyNumberFormat="1" applyFont="1" applyFill="1" applyBorder="1" applyAlignment="1">
      <x:alignment horizontal="center" vertical="center"/>
    </x:xf>
    <x:xf numFmtId="0" fontId="12" fillId="6" borderId="13" xfId="0" applyNumberFormat="1" applyFont="1" applyFill="1" applyBorder="1" applyAlignment="1">
      <x:alignment horizontal="center" vertical="center"/>
    </x:xf>
    <x:xf numFmtId="0" fontId="12" fillId="6" borderId="14" xfId="0" applyNumberFormat="1" applyFont="1" applyFill="1" applyBorder="1" applyAlignment="1">
      <x:alignment horizontal="center" vertical="center"/>
    </x:xf>
    <x:xf numFmtId="0" fontId="12" fillId="6" borderId="15" xfId="0" applyNumberFormat="1" applyFont="1" applyFill="1" applyBorder="1" applyAlignment="1">
      <x:alignment horizontal="center" vertical="center"/>
    </x:xf>
    <x:xf numFmtId="0" fontId="13" fillId="6" borderId="12" xfId="0" applyNumberFormat="1" applyFont="1" applyFill="1" applyBorder="1" applyAlignment="1">
      <x:alignment horizontal="center" vertical="center"/>
    </x:xf>
    <x:xf numFmtId="0" fontId="13" fillId="6" borderId="13" xfId="0" applyNumberFormat="1" applyFont="1" applyFill="1" applyBorder="1" applyAlignment="1">
      <x:alignment horizontal="center" vertical="center"/>
    </x:xf>
    <x:xf numFmtId="0" fontId="13" fillId="6" borderId="14" xfId="0" applyNumberFormat="1" applyFont="1" applyFill="1" applyBorder="1" applyAlignment="1">
      <x:alignment horizontal="center" vertical="center"/>
    </x:xf>
    <x:xf numFmtId="0" fontId="13" fillId="6" borderId="15" xfId="0" applyNumberFormat="1" applyFont="1" applyFill="1" applyBorder="1" applyAlignment="1">
      <x:alignment horizontal="center" vertical="center"/>
    </x:xf>
    <x:xf numFmtId="200" fontId="13" fillId="6" borderId="12" xfId="0" applyNumberFormat="1" applyFont="1" applyFill="1" applyBorder="1" applyAlignment="1">
      <x:alignment horizontal="center" vertical="center"/>
    </x:xf>
    <x:xf numFmtId="200" fontId="13" fillId="6" borderId="13" xfId="0" applyNumberFormat="1" applyFont="1" applyFill="1" applyBorder="1" applyAlignment="1">
      <x:alignment horizontal="center" vertical="center"/>
    </x:xf>
    <x:xf numFmtId="200" fontId="13" fillId="6" borderId="14" xfId="0" applyNumberFormat="1" applyFont="1" applyFill="1" applyBorder="1" applyAlignment="1">
      <x:alignment horizontal="center" vertical="center"/>
    </x:xf>
    <x:xf numFmtId="200" fontId="13" fillId="6" borderId="1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16" xfId="0" applyNumberFormat="1" applyFont="1" applyFill="1" applyBorder="1"/>
    <x:xf numFmtId="0" fontId="14" fillId="7" borderId="17" xfId="0" applyNumberFormat="1" applyFont="1" applyFill="1" applyBorder="1"/>
    <x:xf numFmtId="0" fontId="14" fillId="7" borderId="18" xfId="0" applyNumberFormat="1" applyFont="1" applyFill="1" applyBorder="1"/>
    <x:xf numFmtId="0" fontId="14" fillId="7" borderId="19" xfId="0" applyNumberFormat="1" applyFont="1" applyFill="1" applyBorder="1"/>
    <x:xf numFmtId="0" fontId="14" fillId="7" borderId="20" xfId="0" applyNumberFormat="1" applyFont="1" applyFill="1" applyBorder="1"/>
    <x:xf numFmtId="0" fontId="14" fillId="7" borderId="21" xfId="0" applyNumberFormat="1" applyFont="1" applyFill="1" applyBorder="1"/>
    <x:xf numFmtId="0" fontId="14" fillId="7" borderId="16" xfId="0" applyNumberFormat="1" applyFont="1" applyFill="1" applyBorder="1" applyAlignment="1">
      <x:alignment horizontal="center"/>
    </x:xf>
    <x:xf numFmtId="0" fontId="14" fillId="7" borderId="17" xfId="0" applyNumberFormat="1" applyFont="1" applyFill="1" applyBorder="1" applyAlignment="1">
      <x:alignment horizontal="center"/>
    </x:xf>
    <x:xf numFmtId="0" fontId="14" fillId="7" borderId="18" xfId="0" applyNumberFormat="1" applyFont="1" applyFill="1" applyBorder="1" applyAlignment="1">
      <x:alignment horizontal="center"/>
    </x:xf>
    <x:xf numFmtId="0" fontId="14" fillId="7" borderId="19" xfId="0" applyNumberFormat="1" applyFont="1" applyFill="1" applyBorder="1" applyAlignment="1">
      <x:alignment horizontal="center"/>
    </x:xf>
    <x:xf numFmtId="0" fontId="14" fillId="7" borderId="20" xfId="0" applyNumberFormat="1" applyFont="1" applyFill="1" applyBorder="1" applyAlignment="1">
      <x:alignment horizontal="center"/>
    </x:xf>
    <x:xf numFmtId="0" fontId="14" fillId="7" borderId="21" xfId="0" applyNumberFormat="1" applyFont="1" applyFill="1" applyBorder="1" applyAlignment="1">
      <x:alignment horizontal="center"/>
    </x:xf>
    <x:xf numFmtId="0" fontId="14" fillId="7" borderId="16" xfId="0" applyNumberFormat="1" applyFont="1" applyFill="1" applyBorder="1" applyAlignment="1">
      <x:alignment horizontal="center" vertical="center"/>
    </x:xf>
    <x:xf numFmtId="0" fontId="14" fillId="7" borderId="17" xfId="0" applyNumberFormat="1" applyFont="1" applyFill="1" applyBorder="1" applyAlignment="1">
      <x:alignment horizontal="center" vertical="center"/>
    </x:xf>
    <x:xf numFmtId="0" fontId="14" fillId="7" borderId="18" xfId="0" applyNumberFormat="1" applyFont="1" applyFill="1" applyBorder="1" applyAlignment="1">
      <x:alignment horizontal="center" vertical="center"/>
    </x:xf>
    <x:xf numFmtId="0" fontId="14" fillId="7" borderId="19" xfId="0" applyNumberFormat="1" applyFont="1" applyFill="1" applyBorder="1" applyAlignment="1">
      <x:alignment horizontal="center" vertical="center"/>
    </x:xf>
    <x:xf numFmtId="0" fontId="14" fillId="7" borderId="20" xfId="0" applyNumberFormat="1" applyFont="1" applyFill="1" applyBorder="1" applyAlignment="1">
      <x:alignment horizontal="center" vertical="center"/>
    </x:xf>
    <x:xf numFmtId="0" fontId="14" fillId="7" borderId="21" xfId="0" applyNumberFormat="1" applyFont="1" applyFill="1" applyBorder="1" applyAlignment="1">
      <x:alignment horizontal="center" vertical="center"/>
    </x:xf>
    <x:xf numFmtId="0" fontId="15" fillId="7" borderId="18" xfId="0" applyNumberFormat="1" applyFont="1" applyFill="1" applyBorder="1" applyAlignment="1">
      <x:alignment horizontal="center" vertical="center"/>
    </x:xf>
    <x:xf numFmtId="0" fontId="15" fillId="7" borderId="19" xfId="0" applyNumberFormat="1" applyFont="1" applyFill="1" applyBorder="1" applyAlignment="1">
      <x:alignment horizontal="center" vertical="center"/>
    </x:xf>
    <x:xf numFmtId="0" fontId="15" fillId="7" borderId="20" xfId="0" applyNumberFormat="1" applyFont="1" applyFill="1" applyBorder="1" applyAlignment="1">
      <x:alignment horizontal="center" vertical="center"/>
    </x:xf>
    <x:xf numFmtId="0" fontId="15" fillId="7" borderId="21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7" fillId="0" borderId="1" xfId="0" applyNumberFormat="1" applyFont="1" applyFill="1" applyBorder="1"/>
    <x:xf numFmtId="0" fontId="17" fillId="0" borderId="1" xfId="0" applyNumberFormat="1" applyFont="1" applyFill="1" applyBorder="1" applyAlignment="1">
      <x:alignment wrapText="1"/>
    </x:xf>
    <x:xf numFmtId="0" fontId="17" fillId="0" borderId="1" xfId="0" applyNumberFormat="1" applyFont="1" applyFill="1" applyBorder="1" applyAlignment="1">
      <x:alignment vertical="top" wrapText="1"/>
    </x:xf>
    <x:xf numFmtId="0" fontId="17" fillId="2" borderId="1" xfId="0" applyNumberFormat="1" applyFont="1" applyFill="1" applyBorder="1" applyAlignment="1">
      <x:alignment vertical="top" wrapText="1"/>
    </x:xf>
    <x:xf numFmtId="0" fontId="18" fillId="2" borderId="1" xfId="0" applyNumberFormat="1" applyFont="1" applyFill="1" applyBorder="1" applyAlignment="1">
      <x:alignment vertical="top" wrapText="1"/>
    </x:xf>
    <x:xf numFmtId="0" fontId="18" fillId="2" borderId="1" xfId="0" applyNumberFormat="1" applyFont="1" applyFill="1" applyBorder="1" applyAlignment="1">
      <x:alignment horizontal="center" vertical="top" wrapText="1"/>
    </x:xf>
    <x:xf numFmtId="0" fontId="18" fillId="2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6" fillId="9" borderId="0" xfId="0" applyNumberFormat="1" applyFont="1" applyFill="1" applyBorder="1"/>
    <x:xf numFmtId="0" fontId="20" fillId="6" borderId="0" xfId="0" applyNumberFormat="1" applyFont="1" applyFill="1" applyBorder="1"/>
    <x:xf numFmtId="0" fontId="20" fillId="6" borderId="1" xfId="0" applyNumberFormat="1" applyFont="1" applyFill="1" applyBorder="1"/>
    <x:xf numFmtId="0" fontId="20" fillId="6" borderId="1" xfId="0" applyNumberFormat="1" applyFont="1" applyFill="1" applyBorder="1" applyAlignment="1">
      <x:alignment wrapText="1"/>
    </x:xf>
    <x:xf numFmtId="0" fontId="20" fillId="6" borderId="1" xfId="0" applyNumberFormat="1" applyFont="1" applyFill="1" applyBorder="1" applyAlignment="1">
      <x:alignment vertical="center" wrapText="1"/>
    </x:xf>
    <x:xf numFmtId="0" fontId="21" fillId="3" borderId="0" xfId="0" applyNumberFormat="1" applyFont="1" applyFill="1" applyBorder="1"/>
    <x:xf numFmtId="0" fontId="21" fillId="3" borderId="1" xfId="0" applyNumberFormat="1" applyFont="1" applyFill="1" applyBorder="1"/>
    <x:xf numFmtId="0" fontId="21" fillId="3" borderId="1" xfId="0" applyNumberFormat="1" applyFont="1" applyFill="1" applyBorder="1" applyAlignment="1">
      <x:alignment wrapText="1"/>
    </x:xf>
    <x:xf numFmtId="0" fontId="21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2" fillId="2" borderId="0" xfId="0" applyNumberFormat="1" applyFont="1" applyFill="1" applyBorder="1" applyAlignment="1">
      <x:alignment vertical="center"/>
    </x:xf>
    <x:xf numFmtId="0" fontId="23" fillId="3" borderId="0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/>
    <x:xf numFmtId="0" fontId="25" fillId="5" borderId="4" xfId="0" applyNumberFormat="1" applyFont="1" applyFill="1" applyBorder="1" applyAlignment="1">
      <x:alignment horizontal="center" vertical="center"/>
    </x:xf>
    <x:xf numFmtId="0" fontId="25" fillId="5" borderId="5" xfId="0" applyNumberFormat="1" applyFont="1" applyFill="1" applyBorder="1" applyAlignment="1">
      <x:alignment horizontal="center" vertical="center"/>
    </x:xf>
    <x:xf numFmtId="0" fontId="26" fillId="6" borderId="10" xfId="0" applyNumberFormat="1" applyFont="1" applyFill="1" applyBorder="1" applyAlignment="1">
      <x:alignment horizontal="center" vertical="center"/>
    </x:xf>
    <x:xf numFmtId="0" fontId="26" fillId="6" borderId="11" xfId="0" applyNumberFormat="1" applyFont="1" applyFill="1" applyBorder="1" applyAlignment="1">
      <x:alignment horizontal="center" vertical="center"/>
    </x:xf>
    <x:xf numFmtId="0" fontId="27" fillId="7" borderId="16" xfId="0" applyNumberFormat="1" applyFont="1" applyFill="1" applyBorder="1" applyAlignment="1">
      <x:alignment horizontal="center" vertical="center"/>
    </x:xf>
    <x:xf numFmtId="0" fontId="27" fillId="7" borderId="17" xfId="0" applyNumberFormat="1" applyFont="1" applyFill="1" applyBorder="1" applyAlignment="1">
      <x:alignment horizontal="center" vertical="center"/>
    </x:xf>
    <x:xf numFmtId="200" fontId="28" fillId="5" borderId="6" xfId="0" applyNumberFormat="1" applyFont="1" applyFill="1" applyBorder="1" applyAlignment="1">
      <x:alignment horizontal="center" vertical="center"/>
    </x:xf>
    <x:xf numFmtId="200" fontId="28" fillId="5" borderId="7" xfId="0" applyNumberFormat="1" applyFont="1" applyFill="1" applyBorder="1" applyAlignment="1">
      <x:alignment horizontal="center" vertical="center"/>
    </x:xf>
    <x:xf numFmtId="200" fontId="29" fillId="6" borderId="12" xfId="0" applyNumberFormat="1" applyFont="1" applyFill="1" applyBorder="1" applyAlignment="1">
      <x:alignment horizontal="center" vertical="center"/>
    </x:xf>
    <x:xf numFmtId="200" fontId="29" fillId="6" borderId="13" xfId="0" applyNumberFormat="1" applyFont="1" applyFill="1" applyBorder="1" applyAlignment="1">
      <x:alignment horizontal="center" vertical="center"/>
    </x:xf>
    <x:xf numFmtId="0" fontId="30" fillId="7" borderId="18" xfId="0" applyNumberFormat="1" applyFont="1" applyFill="1" applyBorder="1" applyAlignment="1">
      <x:alignment horizontal="center" vertical="center"/>
    </x:xf>
    <x:xf numFmtId="0" fontId="30" fillId="7" borderId="19" xfId="0" applyNumberFormat="1" applyFont="1" applyFill="1" applyBorder="1" applyAlignment="1">
      <x:alignment horizontal="center" vertical="center"/>
    </x:xf>
    <x:xf numFmtId="200" fontId="28" fillId="5" borderId="8" xfId="0" applyNumberFormat="1" applyFont="1" applyFill="1" applyBorder="1" applyAlignment="1">
      <x:alignment horizontal="center" vertical="center"/>
    </x:xf>
    <x:xf numFmtId="200" fontId="28" fillId="5" borderId="9" xfId="0" applyNumberFormat="1" applyFont="1" applyFill="1" applyBorder="1" applyAlignment="1">
      <x:alignment horizontal="center" vertical="center"/>
    </x:xf>
    <x:xf numFmtId="200" fontId="29" fillId="6" borderId="14" xfId="0" applyNumberFormat="1" applyFont="1" applyFill="1" applyBorder="1" applyAlignment="1">
      <x:alignment horizontal="center" vertical="center"/>
    </x:xf>
    <x:xf numFmtId="200" fontId="29" fillId="6" borderId="15" xfId="0" applyNumberFormat="1" applyFont="1" applyFill="1" applyBorder="1" applyAlignment="1">
      <x:alignment horizontal="center" vertical="center"/>
    </x:xf>
    <x:xf numFmtId="0" fontId="30" fillId="7" borderId="20" xfId="0" applyNumberFormat="1" applyFont="1" applyFill="1" applyBorder="1" applyAlignment="1">
      <x:alignment horizontal="center" vertical="center"/>
    </x:xf>
    <x:xf numFmtId="0" fontId="30" fillId="7" borderId="21" xfId="0" applyNumberFormat="1" applyFont="1" applyFill="1" applyBorder="1" applyAlignment="1">
      <x:alignment horizontal="center" vertical="center"/>
    </x:xf>
    <x:xf numFmtId="0" fontId="31" fillId="4" borderId="0" xfId="0" applyNumberFormat="1" applyFont="1" applyFill="1" applyBorder="1" applyAlignment="1">
      <x:alignment vertical="center"/>
    </x:xf>
    <x:xf numFmtId="0" fontId="32" fillId="2" borderId="1" xfId="0" applyNumberFormat="1" applyFont="1" applyFill="1" applyBorder="1" applyAlignment="1">
      <x:alignment horizontal="center" vertical="center" wrapText="1"/>
    </x:xf>
    <x:xf numFmtId="0" fontId="33" fillId="0" borderId="1" xfId="0" applyNumberFormat="1" applyFont="1" applyFill="1" applyBorder="1" applyAlignment="1">
      <x:alignment vertical="top" wrapText="1"/>
    </x:xf>
    <x:xf numFmtId="0" fontId="34" fillId="0" borderId="1" xfId="0" applyNumberFormat="1" applyFont="1" applyFill="1" applyBorder="1" applyAlignment="1">
      <x:alignment vertical="top" wrapText="1"/>
    </x:xf>
    <x:xf numFmtId="0" fontId="31" fillId="9" borderId="0" xfId="0" applyNumberFormat="1" applyFont="1" applyFill="1" applyBorder="1"/>
    <x:xf numFmtId="0" fontId="35" fillId="6" borderId="1" xfId="0" applyNumberFormat="1" applyFont="1" applyFill="1" applyBorder="1" applyAlignment="1">
      <x:alignment vertical="center" wrapText="1"/>
    </x:xf>
    <x:xf numFmtId="0" fontId="31" fillId="4" borderId="0" xfId="0" applyNumberFormat="1" applyFont="1" applyFill="1" applyBorder="1"/>
    <x:xf numFmtId="0" fontId="36" fillId="3" borderId="1" xfId="0" applyNumberFormat="1" applyFont="1" applyFill="1" applyBorder="1" applyAlignment="1">
      <x:alignment vertical="center" wrapText="1"/>
    </x:xf>
    <x:xf numFmtId="0" fontId="37" fillId="2" borderId="0" xfId="0" applyNumberFormat="1" applyFont="1" applyFill="1" applyBorder="1" applyAlignment="1">
      <x:alignment horizontal="center"/>
    </x:xf>
    <x:xf numFmtId="0" fontId="37" fillId="4" borderId="1" xfId="0" applyNumberFormat="1" applyFont="1" applyFill="1" applyBorder="1" applyAlignment="1">
      <x:alignment vertical="center" wrapText="1"/>
    </x:xf>
    <x:xf numFmtId="0" fontId="38" fillId="0" borderId="1" xfId="0" applyNumberFormat="1" applyFont="1" applyFill="1" applyBorder="1" applyAlignment="1">
      <x:alignment vertical="top" wrapText="1"/>
    </x:xf>
    <x:xf numFmtId="200" fontId="38" fillId="0" borderId="1" xfId="0" applyNumberFormat="1" applyFont="1" applyFill="1" applyBorder="1" applyAlignment="1">
      <x:alignment vertical="top" wrapText="1"/>
    </x:xf>
    <x:xf numFmtId="0" fontId="39" fillId="0" borderId="1" xfId="0" applyNumberFormat="1" applyFont="1" applyFill="1" applyBorder="1" applyAlignment="1">
      <x:alignment vertical="top" wrapText="1"/>
    </x:xf>
    <x:xf numFmtId="0" fontId="40" fillId="5" borderId="2" xfId="0" applyNumberFormat="1" applyFont="1" applyFill="1" applyBorder="1" applyAlignment="1">
      <x:alignment vertical="center"/>
    </x:xf>
    <x:xf numFmtId="200" fontId="40" fillId="5" borderId="2" xfId="0" applyNumberFormat="1" applyFont="1" applyFill="1" applyBorder="1" applyAlignment="1">
      <x:alignment vertical="center"/>
    </x:xf>
    <x:xf numFmtId="0" fontId="38" fillId="5" borderId="1" xfId="0" applyNumberFormat="1" applyFont="1" applyFill="1" applyBorder="1" applyAlignment="1">
      <x:alignment vertical="top" wrapText="1"/>
    </x:xf>
    <x:xf numFmtId="0" fontId="38" fillId="3" borderId="1" xfId="0" applyNumberFormat="1" applyFont="1" applyFill="1" applyBorder="1" applyAlignment="1">
      <x:alignment vertical="top" wrapText="1"/>
    </x:xf>
    <x:xf numFmtId="0" fontId="38" fillId="6" borderId="1" xfId="0" applyNumberFormat="1" applyFont="1" applyFill="1" applyBorder="1" applyAlignment="1">
      <x:alignment vertical="top" wrapText="1"/>
    </x:xf>
    <x:xf numFmtId="0" fontId="41" fillId="6" borderId="3" xfId="0" applyNumberFormat="1" applyFont="1" applyFill="1" applyBorder="1"/>
    <x:xf numFmtId="200" fontId="41" fillId="6" borderId="3" xfId="0" applyNumberFormat="1" applyFont="1" applyFill="1" applyBorder="1"/>
    <x:xf numFmtId="0" fontId="42" fillId="7" borderId="1" xfId="0" applyNumberFormat="1" applyFont="1" applyFill="1" applyBorder="1" applyAlignment="1">
      <x:alignment vertical="top" wrapText="1"/>
    </x:xf>
    <x:xf numFmtId="0" fontId="38" fillId="7" borderId="1" xfId="0" applyNumberFormat="1" applyFont="1" applyFill="1" applyBorder="1" applyAlignment="1">
      <x:alignment vertical="top" wrapText="1"/>
    </x:xf>
    <x:xf numFmtId="0" fontId="40" fillId="5" borderId="2" xfId="0" applyNumberFormat="1" applyFont="1" applyFill="1" applyBorder="1"/>
    <x:xf numFmtId="200" fontId="40" fillId="5" borderId="2" xfId="0" applyNumberFormat="1" applyFont="1" applyFill="1" applyBorder="1"/>
    <x:xf numFmtId="0" fontId="38" fillId="8" borderId="1" xfId="0" applyNumberFormat="1" applyFont="1" applyFill="1" applyBorder="1" applyAlignment="1">
      <x:alignment vertical="top" wrapText="1"/>
    </x:xf>
    <x:xf numFmtId="201" fontId="38" fillId="0" borderId="1" xfId="0" applyNumberFormat="1" applyFont="1" applyFill="1" applyBorder="1" applyAlignment="1">
      <x:alignment vertical="top" wrapText="1"/>
    </x:xf>
    <x:xf numFmtId="0" fontId="43" fillId="0" borderId="1" xfId="0" applyNumberFormat="1" applyFont="1" applyFill="1" applyBorder="1" applyAlignment="1">
      <x:alignment vertical="center" wrapText="0"/>
    </x:xf>
    <x:xf numFmtId="0" fontId="39" fillId="10" borderId="1" xfId="0" applyNumberFormat="1" applyFont="1" applyFill="1" applyBorder="1" applyAlignment="1">
      <x:alignment vertical="top" wrapText="1"/>
    </x:xf>
    <x:xf numFmtId="0" fontId="44" fillId="10" borderId="1" xfId="0" applyNumberFormat="1" applyFont="1" applyFill="1" applyBorder="1" applyAlignment="1">
      <x:alignment vertical="top" wrapText="1"/>
    </x:xf>
    <x:xf numFmtId="0" fontId="39" fillId="11" borderId="1" xfId="0" applyNumberFormat="1" applyFont="1" applyFill="1" applyBorder="1" applyAlignment="1">
      <x:alignment vertical="top" wrapText="1"/>
    </x:xf>
    <x:xf numFmtId="0" fontId="45" fillId="11" borderId="1" xfId="0" applyNumberFormat="1" applyFont="1" applyFill="1" applyBorder="1" applyAlignment="1">
      <x:alignment vertical="top" wrapText="1"/>
    </x:xf>
    <x:xf numFmtId="0" fontId="38" fillId="12" borderId="1" xfId="0" applyNumberFormat="1" applyFont="1" applyFill="1" applyBorder="1" applyAlignment="1">
      <x:alignment vertical="top" wrapText="1"/>
    </x:xf>
    <x:xf numFmtId="0" fontId="46" fillId="12" borderId="1" xfId="0" applyNumberFormat="1" applyFont="1" applyFill="1" applyBorder="1" applyAlignment="1">
      <x:alignment vertical="top" wrapText="1"/>
    </x:xf>
    <x:xf numFmtId="0" fontId="38" fillId="10" borderId="1" xfId="0" applyNumberFormat="1" applyFont="1" applyFill="1" applyBorder="1" applyAlignment="1">
      <x:alignment vertical="top" wrapText="1"/>
    </x:xf>
    <x:xf numFmtId="0" fontId="38" fillId="11" borderId="1" xfId="0" applyNumberFormat="1" applyFont="1" applyFill="1" applyBorder="1" applyAlignment="1">
      <x:alignment vertical="top" wrapText="1"/>
    </x:xf>
    <x:xf numFmtId="0" fontId="47" fillId="11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48" fillId="13" borderId="0" xfId="0" applyNumberFormat="1" applyFont="1" applyFill="1" applyBorder="1"/>
    <x:xf numFmtId="0" fontId="48" fillId="13" borderId="0" xfId="0" applyNumberFormat="1" applyFont="1" applyFill="1" applyBorder="1" applyAlignment="1">
      <x:alignment wrapText="1"/>
    </x:xf>
    <x:xf numFmtId="0" fontId="45" fillId="11" borderId="22" xfId="0" applyNumberFormat="1" applyFont="1" applyFill="1" applyBorder="1" applyAlignment="1">
      <x:alignment vertical="top" wrapText="1"/>
    </x:xf>
    <x:xf numFmtId="0" fontId="47" fillId="11" borderId="22" xfId="0" applyNumberFormat="1" applyFont="1" applyFill="1" applyBorder="1" applyAlignment="1">
      <x:alignment vertical="top" wrapText="1"/>
    </x:xf>
    <x:xf numFmtId="0" fontId="48" fillId="13" borderId="22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8" fillId="14" borderId="0" xfId="0" applyNumberFormat="1" applyFont="1" applyFill="1" applyBorder="1"/>
    <x:xf numFmtId="0" fontId="48" fillId="14" borderId="0" xfId="0" applyNumberFormat="1" applyFont="1" applyFill="1" applyBorder="1" applyAlignment="1">
      <x:alignment wrapText="1"/>
    </x:xf>
    <x:xf numFmtId="0" fontId="48" fillId="14" borderId="22" xfId="0" applyNumberFormat="1" applyFont="1" applyFill="1" applyBorder="1" applyAlignment="1">
      <x:alignment wrapText="1"/>
    </x:xf>
    <x:xf numFmtId="201" fontId="48" fillId="14" borderId="22" xfId="0" applyNumberFormat="1" applyFont="1" applyFill="1" applyBorder="1" applyAlignment="1">
      <x:alignment wrapText="1"/>
    </x:xf>
    <x:xf numFmtId="0" fontId="48" fillId="10" borderId="22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8" fillId="10" borderId="0" xfId="0" applyNumberFormat="1" applyFont="1" applyFill="1" applyBorder="1"/>
    <x:xf numFmtId="0" fontId="48" fillId="1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49" fillId="10" borderId="0" xfId="0" applyNumberFormat="1" applyFont="1" applyFill="1" applyBorder="1"/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22" xfId="0" applyNumberFormat="1" applyFont="1" applyFill="1" applyBorder="1" applyAlignment="1">
      <x:alignment wrapText="1"/>
    </x:xf>
    <x:xf numFmtId="201" fontId="48" fillId="10" borderId="22" xfId="0" applyNumberFormat="1" applyFont="1" applyFill="1" applyBorder="1" applyAlignment="1">
      <x:alignment wrapText="1"/>
    </x:xf>
    <x:xf numFmtId="0" fontId="48" fillId="0" borderId="0" xfId="0" applyNumberFormat="1" applyFont="1" applyFill="1" applyBorder="1"/>
    <x:xf numFmtId="0" fontId="48" fillId="0" borderId="0" xfId="0" applyNumberFormat="1" applyFont="1" applyFill="1" applyBorder="1" applyAlignment="1">
      <x:alignment wrapText="1"/>
    </x:xf>
    <x:xf numFmtId="0" fontId="48" fillId="0" borderId="22" xfId="0" applyNumberFormat="1" applyFont="1" applyFill="1" applyBorder="1" applyAlignment="1">
      <x:alignment wrapText="1"/>
    </x:xf>
    <x:xf numFmtId="0" fontId="50" fillId="0" borderId="22" xfId="0" applyNumberFormat="1" applyFont="1" applyFill="1" applyBorder="1" applyAlignment="1">
      <x:alignment wrapText="1"/>
    </x:xf>
    <x:xf numFmtId="0" fontId="50" fillId="12" borderId="22" xfId="0" applyNumberFormat="1" applyFont="1" applyFill="1" applyBorder="1" applyAlignment="1">
      <x:alignment wrapText="1"/>
    </x:xf>
    <x:xf numFmtId="0" fontId="51" fillId="12" borderId="22" xfId="0" applyNumberFormat="1" applyFont="1" applyFill="1" applyBorder="1" applyAlignment="1">
      <x:alignment wrapText="1"/>
    </x:xf>
    <x:xf numFmtId="0" fontId="50" fillId="10" borderId="22" xfId="0" applyNumberFormat="1" applyFont="1" applyFill="1" applyBorder="1" applyAlignment="1">
      <x:alignment wrapText="1"/>
    </x:xf>
    <x:xf numFmtId="0" fontId="50" fillId="17" borderId="22" xfId="0" applyNumberFormat="1" applyFont="1" applyFill="1" applyBorder="1" applyAlignment="1">
      <x:alignment wrapText="1"/>
    </x:xf>
    <x:xf numFmtId="0" fontId="52" fillId="17" borderId="22" xfId="0" applyNumberFormat="1" applyFont="1" applyFill="1" applyBorder="1" applyAlignment="1">
      <x:alignment wrapText="1"/>
    </x:xf>
    <x:xf numFmtId="0" fontId="50" fillId="11" borderId="22" xfId="0" applyNumberFormat="1" applyFont="1" applyFill="1" applyBorder="1" applyAlignment="1">
      <x:alignment wrapText="1"/>
    </x:xf>
    <x:xf numFmtId="0" fontId="53" fillId="11" borderId="22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vertical="center"/>
    </x:xf>
    <x:xf numFmtId="0" fontId="49" fillId="1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6" fillId="16" borderId="0" xfId="0" applyNumberFormat="1" applyFont="1" applyFill="1" applyBorder="1" applyAlignment="1">
      <x:alignment vertical="center"/>
    </x:xf>
    <x:xf numFmtId="0" fontId="16" fillId="16" borderId="22" xfId="0" applyNumberFormat="1" applyFont="1" applyFill="1" applyBorder="1" applyAlignment="1">
      <x:alignment vertical="center" wrapText="1"/>
    </x:xf>
    <x:xf numFmtId="201" fontId="48" fillId="10" borderId="22" xfId="0" applyNumberFormat="1" applyFont="1" applyFill="1" applyBorder="1" applyAlignment="1">
      <x:alignment vertical="center" wrapText="1"/>
    </x:xf>
    <x:xf numFmtId="0" fontId="48" fillId="10" borderId="22" xfId="0" applyNumberFormat="1" applyFont="1" applyFill="1" applyBorder="1" applyAlignment="1">
      <x:alignment vertical="center" wrapText="1"/>
    </x:xf>
    <x:xf numFmtId="0" fontId="48" fillId="0" borderId="22" xfId="0" applyNumberFormat="1" applyFont="1" applyFill="1" applyBorder="1" applyAlignment="1">
      <x:alignment vertical="center" wrapText="1"/>
    </x:xf>
    <x:xf numFmtId="0" fontId="51" fillId="12" borderId="22" xfId="0" applyNumberFormat="1" applyFont="1" applyFill="1" applyBorder="1" applyAlignment="1">
      <x:alignment vertical="center" wrapText="1"/>
    </x:xf>
    <x:xf numFmtId="0" fontId="50" fillId="10" borderId="22" xfId="0" applyNumberFormat="1" applyFont="1" applyFill="1" applyBorder="1" applyAlignment="1">
      <x:alignment vertical="center" wrapText="1"/>
    </x:xf>
    <x:xf numFmtId="0" fontId="52" fillId="17" borderId="22" xfId="0" applyNumberFormat="1" applyFont="1" applyFill="1" applyBorder="1" applyAlignment="1">
      <x:alignment vertical="center" wrapText="1"/>
    </x:xf>
    <x:xf numFmtId="0" fontId="53" fillId="11" borderId="2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8" fillId="18" borderId="22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54" fillId="18" borderId="22" xfId="0" applyNumberFormat="1" applyFont="1" applyFill="1" applyBorder="1" applyAlignment="1">
      <x:alignment wrapText="1"/>
    </x:xf>
    <x:xf numFmtId="0" fontId="54" fillId="18" borderId="0" xfId="0" applyNumberFormat="1" applyFont="1" applyFill="1" applyBorder="1"/>
    <x:xf numFmtId="0" fontId="54" fillId="18" borderId="1" xfId="0" applyNumberFormat="1" applyFont="1" applyFill="1" applyBorder="1" applyAlignment="1">
      <x:alignment wrapText="1"/>
    </x:xf>
    <x:xf numFmtId="0" fontId="54" fillId="18" borderId="1" xfId="0" applyNumberFormat="1" applyFont="1" applyFill="1" applyBorder="1"/>
    <x:xf numFmtId="0" fontId="54" fillId="18" borderId="1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54" fillId="19" borderId="0" xfId="0" applyNumberFormat="1" applyFont="1" applyFill="1" applyBorder="1"/>
    <x:xf numFmtId="0" fontId="54" fillId="19" borderId="1" xfId="0" applyNumberFormat="1" applyFont="1" applyFill="1" applyBorder="1"/>
    <x:xf numFmtId="0" fontId="54" fillId="19" borderId="1" xfId="0" applyNumberFormat="1" applyFont="1" applyFill="1" applyBorder="1" applyAlignment="1">
      <x:alignment wrapText="1"/>
    </x:xf>
    <x:xf numFmtId="0" fontId="54" fillId="19" borderId="1" xfId="0" applyNumberFormat="1" applyFont="1" applyFill="1" applyBorder="1" applyAlignment="1">
      <x:alignment vertical="top" wrapText="1"/>
    </x:xf>
    <x:xf numFmtId="0" fontId="55" fillId="19" borderId="1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56" fillId="20" borderId="0" xfId="0" applyNumberFormat="1" applyFont="1" applyFill="1" applyBorder="1"/>
    <x:xf numFmtId="0" fontId="56" fillId="20" borderId="22" xfId="0" applyNumberFormat="1" applyFont="1" applyFill="1" applyBorder="1"/>
    <x:xf numFmtId="0" fontId="56" fillId="20" borderId="22" xfId="0" applyNumberFormat="1" applyFont="1" applyFill="1" applyBorder="1" applyAlignment="1">
      <x:alignment wrapText="1"/>
    </x:xf>
    <x:xf numFmtId="0" fontId="56" fillId="20" borderId="22" xfId="0" applyNumberFormat="1" applyFont="1" applyFill="1" applyBorder="1" applyAlignment="1">
      <x:alignment vertical="top" wrapText="1"/>
    </x:xf>
    <x:xf numFmtId="0" fontId="56" fillId="19" borderId="22" xfId="0" applyNumberFormat="1" applyFont="1" applyFill="1" applyBorder="1" applyAlignment="1">
      <x:alignment vertical="top" wrapText="1"/>
    </x:xf>
    <x:xf numFmtId="0" fontId="55" fillId="19" borderId="22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54" fillId="21" borderId="0" xfId="0" applyNumberFormat="1" applyFont="1" applyFill="1" applyBorder="1"/>
    <x:xf numFmtId="0" fontId="54" fillId="21" borderId="1" xfId="0" applyNumberFormat="1" applyFont="1" applyFill="1" applyBorder="1"/>
    <x:xf numFmtId="0" fontId="54" fillId="21" borderId="1" xfId="0" applyNumberFormat="1" applyFont="1" applyFill="1" applyBorder="1" applyAlignment="1">
      <x:alignment wrapText="1"/>
    </x:xf>
    <x:xf numFmtId="0" fontId="54" fillId="21" borderId="1" xfId="0" applyNumberFormat="1" applyFont="1" applyFill="1" applyBorder="1" applyAlignment="1">
      <x:alignment vertical="top" wrapText="1"/>
    </x:xf>
    <x:xf numFmtId="0" fontId="54" fillId="22" borderId="1" xfId="0" applyNumberFormat="1" applyFont="1" applyFill="1" applyBorder="1" applyAlignment="1">
      <x:alignment vertical="top" wrapText="1"/>
    </x:xf>
    <x:xf numFmtId="0" fontId="55" fillId="23" borderId="1" xfId="0" applyNumberFormat="1" applyFont="1" applyFill="1" applyBorder="1" applyAlignment="1">
      <x:alignment vertical="top" wrapText="1"/>
    </x:xf>
    <x:xf numFmtId="0" fontId="54" fillId="23" borderId="1" xfId="0" applyNumberFormat="1" applyFont="1" applyFill="1" applyBorder="1" applyAlignment="1">
      <x:alignment vertical="top" wrapText="1"/>
    </x:xf>
    <x:xf numFmtId="0" fontId="57" fillId="23" borderId="1" xfId="0" applyNumberFormat="1" applyFont="1" applyFill="1" applyBorder="1" applyAlignment="1">
      <x:alignment vertical="top" wrapText="1"/>
    </x:xf>
    <x:xf numFmtId="0" fontId="56" fillId="24" borderId="22" xfId="0" applyNumberFormat="1" applyFont="1" applyFill="1" applyBorder="1" applyAlignment="1">
      <x:alignment vertical="top" wrapText="1"/>
    </x:xf>
    <x:xf numFmtId="0" fontId="55" fillId="24" borderId="22" xfId="0" applyNumberFormat="1" applyFont="1" applyFill="1" applyBorder="1" applyAlignment="1">
      <x:alignment vertical="top" wrapText="1"/>
    </x:xf>
    <x:xf numFmtId="0" fontId="58" fillId="24" borderId="22" xfId="0" applyNumberFormat="1" applyFont="1" applyFill="1" applyBorder="1" applyAlignment="1">
      <x:alignment vertical="top" wrapText="1"/>
    </x:xf>
    <x:xf numFmtId="0" fontId="58" fillId="23" borderId="22" xfId="0" applyNumberFormat="1" applyFont="1" applyFill="1" applyBorder="1" applyAlignment="1">
      <x:alignment vertical="top" wrapText="1"/>
    </x:xf>
    <x:xf numFmtId="0" fontId="55" fillId="23" borderId="22" xfId="0" applyNumberFormat="1" applyFont="1" applyFill="1" applyBorder="1" applyAlignment="1">
      <x:alignment vertical="top" wrapText="1"/>
    </x:xf>
    <x:xf numFmtId="0" fontId="54" fillId="25" borderId="1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54" fillId="26" borderId="0" xfId="0" applyNumberFormat="1" applyFont="1" applyFill="1" applyBorder="1"/>
    <x:xf numFmtId="0" fontId="54" fillId="26" borderId="0" xfId="0" applyNumberFormat="1" applyFont="1" applyFill="1" applyBorder="1" applyAlignment="1">
      <x:alignment wrapText="1"/>
    </x:xf>
    <x:xf numFmtId="0" fontId="54" fillId="26" borderId="0" xfId="0" applyNumberFormat="1" applyFont="1" applyFill="1" applyBorder="1" applyAlignment="1">
      <x:alignment vertical="top" wrapText="1"/>
    </x:xf>
    <x:xf numFmtId="0" fontId="54" fillId="26" borderId="1" xfId="0" applyNumberFormat="1" applyFont="1" applyFill="1" applyBorder="1" applyAlignment="1">
      <x:alignment vertical="top" wrapText="1"/>
    </x:xf>
    <x:xf numFmtId="202" fontId="54" fillId="2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5bdefe0d24fea" /><Relationship Type="http://schemas.openxmlformats.org/officeDocument/2006/relationships/theme" Target="/xl/theme/theme1.xml" Id="Rcd9a38665b9049dc" /><Relationship Type="http://schemas.openxmlformats.org/officeDocument/2006/relationships/sharedStrings" Target="/xl/sharedStrings.xml" Id="Rdd58385341c44ef6" /><Relationship Type="http://schemas.openxmlformats.org/officeDocument/2006/relationships/worksheet" Target="/xl/worksheets/sheet1.xml" Id="R25c4ac21fb914445" /><Relationship Type="http://schemas.openxmlformats.org/officeDocument/2006/relationships/worksheet" Target="/xl/worksheets/sheet2.xml" Id="Rf79779430ebf4978" /><Relationship Type="http://schemas.openxmlformats.org/officeDocument/2006/relationships/worksheet" Target="/xl/worksheets/sheet3.xml" Id="R23e956d44e3749db" /><Relationship Type="http://schemas.openxmlformats.org/officeDocument/2006/relationships/worksheet" Target="/xl/worksheets/sheet4.xml" Id="Rb08b1807cf7e4b60" /><Relationship Type="http://schemas.openxmlformats.org/officeDocument/2006/relationships/worksheet" Target="/xl/worksheets/sheet5.xml" Id="Rf1e99c1512f04f10" /><Relationship Type="http://schemas.openxmlformats.org/officeDocument/2006/relationships/worksheet" Target="/xl/worksheets/sheet6.xml" Id="R2b230ada690040fc" /><Relationship Type="http://schemas.openxmlformats.org/officeDocument/2006/relationships/worksheet" Target="/xl/worksheets/sheet7.xml" Id="R0f749c71e06141a0" /><Relationship Type="http://schemas.openxmlformats.org/officeDocument/2006/relationships/worksheet" Target="/xl/worksheets/sheet8.xml" Id="R2cec2c7177754d4e" /><Relationship Type="http://schemas.openxmlformats.org/officeDocument/2006/relationships/worksheet" Target="/xl/worksheets/sheet9.xml" Id="Ra3d9622be4b64a73" /></Relationships>
</file>

<file path=xl/tables/table1.xml><?xml version="1.0" encoding="utf-8"?>
<x:table xmlns:x="http://schemas.openxmlformats.org/spreadsheetml/2006/main" id="1" name="OrderedInTransit" displayName="OrderedInTransit" ref="A5:I9" headerRowCount="1" totalsRowCount="0" totalsRowShown="0">
  <x:tableColumns count="9">
    <x:tableColumn id="1" name="Order date"/>
    <x:tableColumn id="2" name="State"/>
    <x:tableColumn id="3" name="Supplier"/>
    <x:tableColumn id="4" name="Category"/>
    <x:tableColumn id="5" name="Item"/>
    <x:tableColumn id="6" name="DigiKey SKU"/>
    <x:tableColumn id="7" name="Qty"/>
    <x:tableColumn id="8" name="Intended use"/>
    <x:tableColumn id="9" name="Receive &amp; verif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itialBuildReadiness" displayName="InitialBuildReadiness" ref="A12:I21" headerRowCount="1" totalsRowCount="0" totalsRowShown="0">
  <x:tableColumns count="9">
    <x:tableColumn id="1" name="Phase / gate"/>
    <x:tableColumn id="2" name="State"/>
    <x:tableColumn id="3" name="Item"/>
    <x:tableColumn id="4" name="Where tracked"/>
    <x:tableColumn id="5" name="Next action"/>
    <x:tableColumn id="6" name="Why / compatibility"/>
    <x:tableColumn id="7" name="Buy timing"/>
    <x:tableColumn id="8" name="Lowest-cost path"/>
    <x:tableColumn id="9" name="Source /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c46d1c0d416b45f5" /><Relationship Type="http://schemas.openxmlformats.org/officeDocument/2006/relationships/table" Target="/xl/tables/table2.xml" Id="R5fa43da2da494a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9" hidden="0" customWidth="1"/>
    <x:col min="3" max="3" width="7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145" t="str">
        <x:v>Beni single-leg Mode A procurement dashboard</x:v>
      </x:c>
      <x:c r="B1" s="145"/>
      <x:c r="C1" s="145"/>
      <x:c r="D1" s="145"/>
      <x:c r="E1" s="145"/>
      <x:c r="F1" s="145"/>
      <x:c r="G1" s="145"/>
      <x:c r="H1" s="145"/>
    </x:row>
    <x:row r="2" ht="32" customHeight="1">
      <x:c r="A2" s="146" t="str">
        <x:v>Los Altos, California • procurement status updated 2026-09-02 • complete ABS single-leg integration first • PA-CF deferred to the later two-leg structural build</x:v>
      </x:c>
      <x:c r="B2" s="146"/>
      <x:c r="C2" s="146"/>
      <x:c r="D2" s="146"/>
      <x:c r="E2" s="146"/>
      <x:c r="F2" s="146"/>
      <x:c r="G2" s="146"/>
      <x:c r="H2" s="146"/>
    </x:row>
    <x:row r="3">
      <x:c r="A3" s="147"/>
      <x:c r="B3" s="147"/>
      <x:c r="C3" s="147"/>
      <x:c r="D3" s="147"/>
      <x:c r="E3" s="147"/>
      <x:c r="F3" s="147"/>
      <x:c r="G3" s="147"/>
      <x:c r="H3" s="147"/>
    </x:row>
    <x:row r="4">
      <x:c r="A4" s="148" t="str">
        <x:v>OPEN BUY-NOW SUBTOTAL</x:v>
      </x:c>
      <x:c r="B4" s="149"/>
      <x:c r="C4" s="147"/>
      <x:c r="D4" s="150" t="str">
        <x:v>NOW-IF-MISSING MAX</x:v>
      </x:c>
      <x:c r="E4" s="151"/>
      <x:c r="F4" s="147"/>
      <x:c r="G4" s="152" t="str">
        <x:v>UNPRICED BLOCKERS</x:v>
      </x:c>
      <x:c r="H4" s="153"/>
    </x:row>
    <x:row r="5">
      <x:c r="A5" s="154" t="n">
        <x:f>'Order Now'!H26</x:f>
        <x:v>140.95000000000002</x:v>
      </x:c>
      <x:c r="B5" s="155"/>
      <x:c r="C5" s="147"/>
      <x:c r="D5" s="156" t="n">
        <x:f>SUMIF(Conditional!$A$5:$A$13,"Now if missing",Conditional!$H$5:$H$13)</x:f>
        <x:v>62.75000000000001</x:v>
      </x:c>
      <x:c r="E5" s="157"/>
      <x:c r="F5" s="147"/>
      <x:c r="G5" s="158" t="str">
        <x:v>7 OPEN GATES</x:v>
      </x:c>
      <x:c r="H5" s="159"/>
    </x:row>
    <x:row r="6">
      <x:c r="A6" s="160"/>
      <x:c r="B6" s="161"/>
      <x:c r="C6" s="147"/>
      <x:c r="D6" s="162"/>
      <x:c r="E6" s="163"/>
      <x:c r="F6" s="147"/>
      <x:c r="G6" s="164"/>
      <x:c r="H6" s="165"/>
    </x:row>
    <x:row r="7">
      <x:c r="A7" s="147"/>
      <x:c r="B7" s="147"/>
      <x:c r="C7" s="147"/>
      <x:c r="D7" s="147"/>
      <x:c r="E7" s="147"/>
      <x:c r="F7" s="147"/>
      <x:c r="G7" s="147"/>
      <x:c r="H7" s="147"/>
    </x:row>
    <x:row r="8">
      <x:c r="A8" s="166" t="str">
        <x:v>PURCHASE SEQUENCE</x:v>
      </x:c>
      <x:c r="B8" s="166"/>
      <x:c r="C8" s="166"/>
      <x:c r="D8" s="166"/>
      <x:c r="E8" s="166"/>
      <x:c r="F8" s="166"/>
      <x:c r="G8" s="166"/>
      <x:c r="H8" s="166"/>
    </x:row>
    <x:row r="9" ht="42" customHeight="1">
      <x:c r="A9" s="167" t="str">
        <x:v>1</x:v>
      </x:c>
      <x:c r="B9" s="168" t="str">
        <x:v>Receive DigiKey order; buy remaining direct hardware</x:v>
      </x:c>
      <x:c r="C9" s="169" t="str">
        <x:v>The four DigiKey line items were ordered 2026-08-31 and are tracked as in transit on Status &amp; Gaps. Use Order Now and Supplier Carts for the remaining open lines.</x:v>
      </x:c>
      <x:c r="D9" s="147"/>
      <x:c r="E9" s="147"/>
      <x:c r="F9" s="147"/>
      <x:c r="G9" s="147"/>
      <x:c r="H9" s="147"/>
    </x:row>
    <x:row r="10" ht="68" customHeight="1">
      <x:c r="A10" s="167" t="str">
        <x:v>2</x:v>
      </x:c>
      <x:c r="B10" s="168" t="str">
        <x:v>Inventory active-phase essentials</x:v>
      </x:c>
      <x:c r="C10" s="169" t="str">
        <x:v>16–18 AWG stranded copper wire, polarized power connectors, ferrules, heat-shrink, a DMM, dial indicator, access to a 4-wire milliohm meter and 2-channel scope/logic analyzer, hex keys, a microSD card, TPU 95A, and general assembly hardware. Defer the 5 kg scale, force/torque metrology, and PA-CF hotend/nozzle release until the later two-leg build.</x:v>
      </x:c>
      <x:c r="D10" s="147"/>
      <x:c r="E10" s="147"/>
      <x:c r="F10" s="147"/>
      <x:c r="G10" s="147"/>
      <x:c r="H10" s="147"/>
    </x:row>
    <x:row r="11" ht="42" customHeight="1">
      <x:c r="A11" s="167" t="str">
        <x:v>3</x:v>
      </x:c>
      <x:c r="B11" s="168" t="str">
        <x:v>Resolve remaining fit and CAD work</x:v>
      </x:c>
      <x:c r="C11" s="169" t="str">
        <x:v>The yellow OD18 / ID9 x 50 mm spring is owned. Adapt the cartridge, then verify its rate. The knee axle, stop pin, guide shaft and preload hardware retain their separate fit/design gates.</x:v>
      </x:c>
      <x:c r="D11" s="147"/>
      <x:c r="E11" s="147"/>
      <x:c r="F11" s="147"/>
      <x:c r="G11" s="147"/>
      <x:c r="H11" s="147"/>
    </x:row>
    <x:row r="12" ht="42" customHeight="1">
      <x:c r="A12" s="167" t="str">
        <x:v>4</x:v>
      </x:c>
      <x:c r="B12" s="168" t="str">
        <x:v>Close Fusion design holds before printing/buying</x:v>
      </x:c>
      <x:c r="C12" s="169" t="str">
        <x:v>Correct and verify the shoulder-hub, wheel-hub and stand insert receivers, and close the clevis-pin retention scheme through Fusion MCP. The current releases must not be used for those interfaces.</x:v>
      </x:c>
      <x:c r="D12" s="147"/>
      <x:c r="E12" s="147"/>
      <x:c r="F12" s="147"/>
      <x:c r="G12" s="147"/>
      <x:c r="H12" s="147"/>
    </x:row>
    <x:row r="13" ht="42" customHeight="1">
      <x:c r="A13" s="167" t="str">
        <x:v>5</x:v>
      </x:c>
      <x:c r="B13" s="168" t="str">
        <x:v>After the complete ABS single-leg integration article</x:v>
      </x:c>
      <x:c r="C13" s="169" t="str">
        <x:v>Keep PA6-CF and the hardened 0.6 hotend deferred until the two-leg structural build. The ABS leg may run self-weight-only, wheel-clear, current-limited motor/electronics checks; no spring characterization, ground traction, stall/proof torque or drops through ABS.</x:v>
      </x:c>
      <x:c r="D13" s="147"/>
      <x:c r="E13" s="147"/>
      <x:c r="F13" s="147"/>
      <x:c r="G13" s="147"/>
      <x:c r="H13" s="147"/>
    </x:row>
    <x:row r="14">
      <x:c r="A14" s="147"/>
      <x:c r="B14" s="147"/>
      <x:c r="C14" s="147"/>
      <x:c r="D14" s="147"/>
      <x:c r="E14" s="147"/>
      <x:c r="F14" s="147"/>
      <x:c r="G14" s="147"/>
      <x:c r="H14" s="147"/>
    </x:row>
    <x:row r="15">
      <x:c r="A15" s="170" t="str">
        <x:v>SAFETY / SCOPE NOTES</x:v>
      </x:c>
      <x:c r="B15" s="170"/>
      <x:c r="C15" s="170"/>
      <x:c r="D15" s="170"/>
      <x:c r="E15" s="170"/>
      <x:c r="F15" s="170"/>
      <x:c r="G15" s="170"/>
      <x:c r="H15" s="170"/>
    </x:row>
    <x:row r="16" ht="31" customHeight="1">
      <x:c r="A16" s="171" t="str">
        <x:v>• The bench PSU cannot sink regenerative energy. Keep the mechanism clamped, use low current limits, avoid hard backdriving and stop immediately on bus-voltage rise.</x:v>
      </x:c>
      <x:c r="B16" s="171"/>
      <x:c r="C16" s="171"/>
      <x:c r="D16" s="171"/>
      <x:c r="E16" s="171"/>
      <x:c r="F16" s="171"/>
      <x:c r="G16" s="171"/>
      <x:c r="H16" s="171"/>
    </x:row>
    <x:row r="17" ht="31" customHeight="1">
      <x:c r="A17" s="171" t="str">
        <x:v>• The two supplied actuators and breakout leads are owned. Continuity-map the leads; the photos are evidence of delivery, not a pinout.</x:v>
      </x:c>
      <x:c r="B17" s="171"/>
      <x:c r="C17" s="171"/>
      <x:c r="D17" s="171"/>
      <x:c r="E17" s="171"/>
      <x:c r="F17" s="171"/>
      <x:c r="G17" s="171"/>
      <x:c r="H17" s="171"/>
    </x:row>
    <x:row r="18" ht="31" customHeight="1">
      <x:c r="A18" s="171" t="str">
        <x:v>• No calipers are required for the current fit campaign: use the manufacturer STEP geometry, printed coupons and known hardware dimensions. The dial indicator serves a different TIR measurement.</x:v>
      </x:c>
      <x:c r="B18" s="171"/>
      <x:c r="C18" s="171"/>
      <x:c r="D18" s="171"/>
      <x:c r="E18" s="171"/>
      <x:c r="F18" s="171"/>
      <x:c r="G18" s="171"/>
      <x:c r="H18" s="171"/>
    </x:row>
    <x:row r="19" ht="31" customHeight="1">
      <x:c r="A19" s="171" t="str">
        <x:v>• The active build remains ABS through the complete single-leg integration article. Current-limited, wheel-clear, self-weight-only motor/electronics checks are allowed; spring characterization, ground traction, stall/proof torque, drops and other structural loads wait for the two-leg PA-CF build.</x:v>
      </x:c>
      <x:c r="B19" s="171"/>
      <x:c r="C19" s="171"/>
      <x:c r="D19" s="171"/>
      <x:c r="E19" s="171"/>
      <x:c r="F19" s="171"/>
      <x:c r="G19" s="171"/>
      <x:c r="H19" s="171"/>
    </x:row>
    <x:row r="20" ht="31" customHeight="1">
      <x:c r="A20" s="171" t="str">
        <x:v>• Mode B rail/drop/ballast hardware is deliberately absent from the purchase list and remains deferred.</x:v>
      </x:c>
      <x:c r="B20" s="171"/>
      <x:c r="C20" s="171"/>
      <x:c r="D20" s="171"/>
      <x:c r="E20" s="171"/>
      <x:c r="F20" s="171"/>
      <x:c r="G20" s="171"/>
      <x:c r="H20" s="171"/>
    </x:row>
    <x:row r="21">
      <x:c r="A21" s="147" t="str">
        <x:v>• Heat-set scope: 14 active M3 inserts are already owned but must pass the Ø4.0 × 5.0 ABS coupon. The owned M4×8/10 inserts are too long for the thin hubs; do not force or self-tap them.</x:v>
      </x:c>
      <x:c r="B21" s="147"/>
      <x:c r="C21" s="147"/>
      <x:c r="D21" s="147"/>
      <x:c r="E21" s="147"/>
      <x:c r="F21" s="147"/>
      <x:c r="G21" s="147"/>
      <x:c r="H21" s="147"/>
    </x:row>
    <x:row r="22">
      <x:c r="A22" s="172" t="str">
        <x:v>COST BOUNDARIES</x:v>
      </x:c>
      <x:c r="B22" s="172"/>
      <x:c r="C22" s="172"/>
      <x:c r="D22" s="172"/>
      <x:c r="E22" s="172"/>
      <x:c r="F22" s="172"/>
      <x:c r="G22" s="172"/>
      <x:c r="H22" s="172"/>
    </x:row>
    <x:row r="23" ht="34" customHeight="1">
      <x:c r="A23" s="173" t="str">
        <x:v>The open buy-now subtotal excludes items marked ordered/in transit or owned. It still excludes sales tax, shipping, custom precision-part quotes and anything on Conditional.</x:v>
      </x:c>
      <x:c r="B23" s="173"/>
      <x:c r="C23" s="173"/>
      <x:c r="D23" s="173"/>
      <x:c r="E23" s="173"/>
      <x:c r="F23" s="173"/>
      <x:c r="G23" s="173"/>
      <x:c r="H23" s="173"/>
    </x:row>
    <x:row r="24" ht="34" customHeight="1">
      <x:c r="A24" s="173" t="str">
        <x:v>The Conditional maximum is not a shopping recommendation. It is the upper bound if every listed tool, harness and material is missing.</x:v>
      </x:c>
      <x:c r="B24" s="173"/>
      <x:c r="C24" s="173"/>
      <x:c r="D24" s="173"/>
      <x:c r="E24" s="173"/>
      <x:c r="F24" s="173"/>
      <x:c r="G24" s="173"/>
      <x:c r="H24" s="173"/>
    </x:row>
    <x:row r="25" ht="34" customHeight="1">
      <x:c r="A25" s="173" t="str">
        <x:v>Supplier carts intentionally show shipping risk. Check pickup/free-shipping options for Los Altos and preserve exact dimensions/tolerances over a cheaper near-match.</x:v>
      </x:c>
      <x:c r="B25" s="173"/>
      <x:c r="C25" s="173"/>
      <x:c r="D25" s="173"/>
      <x:c r="E25" s="173"/>
      <x:c r="F25" s="173"/>
      <x:c r="G25" s="173"/>
      <x:c r="H25" s="173"/>
    </x:row>
    <x:row r="26">
      <x:c r="A26" s="147"/>
      <x:c r="B26" s="147"/>
      <x:c r="C26" s="147"/>
      <x:c r="D26" s="147"/>
      <x:c r="E26" s="147"/>
      <x:c r="F26" s="147"/>
      <x:c r="G26" s="147"/>
      <x:c r="H26" s="147"/>
    </x:row>
    <x:row r="27">
      <x:c r="A27" s="174" t="str">
        <x:v>Workbook tabs: Order Now • Conditional • RFQ &amp; Holds • Supplier Carts • Owned &amp; Printed • Sources • Order Links • Status &amp; Gaps</x:v>
      </x:c>
      <x:c r="B27" s="174"/>
      <x:c r="C27" s="174"/>
      <x:c r="D27" s="174"/>
      <x:c r="E27" s="174"/>
      <x:c r="F27" s="174"/>
      <x:c r="G27" s="174"/>
      <x:c r="H27" s="174"/>
    </x:row>
  </x:sheetData>
  <x:mergeCells>
    <x:mergeCell ref="A1:H1"/>
    <x:mergeCell ref="A2:H2"/>
    <x:mergeCell ref="A4:B4"/>
    <x:mergeCell ref="A5:B6"/>
    <x:mergeCell ref="D4:E4"/>
    <x:mergeCell ref="D5:E6"/>
    <x:mergeCell ref="G4:H4"/>
    <x:mergeCell ref="G5:H6"/>
    <x:mergeCell ref="A8:H8"/>
    <x:mergeCell ref="A15:H15"/>
    <x:mergeCell ref="A16:H16"/>
    <x:mergeCell ref="A17:H17"/>
    <x:mergeCell ref="A18:H18"/>
    <x:mergeCell ref="A19:H19"/>
    <x:mergeCell ref="A20:H20"/>
    <x:mergeCell ref="A22:H22"/>
    <x:mergeCell ref="A23:H23"/>
    <x:mergeCell ref="A24:H24"/>
    <x:mergeCell ref="A25:H25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24" hidden="0" customWidth="1"/>
    <x:col min="4" max="4" width="38" hidden="0" customWidth="1"/>
    <x:col min="5" max="5" width="10" hidden="0" customWidth="1"/>
    <x:col min="6" max="6" width="9" hidden="0" customWidth="1"/>
    <x:col min="7" max="7" width="12" hidden="0" customWidth="1"/>
    <x:col min="8" max="8" width="12" hidden="0" customWidth="1"/>
    <x:col min="9" max="9" width="18" hidden="0" customWidth="1"/>
    <x:col min="10" max="10" width="20" hidden="0" customWidth="1"/>
    <x:col min="11" max="11" width="10" hidden="0" customWidth="1"/>
    <x:col min="12" max="12" width="42" hidden="0" customWidth="1"/>
    <x:col min="13" max="13" width="32" hidden="0" customWidth="1"/>
  </x:cols>
  <x:sheetData>
    <x:row r="1" ht="21.600000381469727" hidden="0" customHeight="1">
      <x:c r="A1" s="145" t="str">
        <x:v>Mode A — direct-order bill of materials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  <x:c r="M1" s="145"/>
    </x:row>
    <x:row r="2" ht="15" hidden="0" customHeight="1">
      <x:c r="A2" s="146" t="str">
        <x:v>One complete ABS single-leg integration article plus wheel-clear/current-limited motor and electronics checks. Status updated 2026-09-02; tax and shipping are excluded. The subtotal includes only still-open lines.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</x:row>
    <x:row r="3" ht="15" hidden="0" customHeight="1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</x:row>
    <x:row r="4" ht="15" hidden="0" customHeight="1">
      <x:c r="A4" s="175" t="str">
        <x:v>Priority</x:v>
      </x:c>
      <x:c r="B4" s="175" t="str">
        <x:v>Category</x:v>
      </x:c>
      <x:c r="C4" s="175" t="str">
        <x:v>Item</x:v>
      </x:c>
      <x:c r="D4" s="175" t="str">
        <x:v>Exact specification</x:v>
      </x:c>
      <x:c r="E4" s="175" t="str">
        <x:v>Need</x:v>
      </x:c>
      <x:c r="F4" s="175" t="str">
        <x:v>Buy qty</x:v>
      </x:c>
      <x:c r="G4" s="175" t="str">
        <x:v>List price / unit</x:v>
      </x:c>
      <x:c r="H4" s="175" t="str">
        <x:v>Extended</x:v>
      </x:c>
      <x:c r="I4" s="175" t="str">
        <x:v>Supplier / cart</x:v>
      </x:c>
      <x:c r="J4" s="175" t="str">
        <x:v>SKU / part</x:v>
      </x:c>
      <x:c r="K4" s="175" t="str">
        <x:v>Order</x:v>
      </x:c>
      <x:c r="L4" s="175" t="str">
        <x:v>Receive &amp; verify</x:v>
      </x:c>
      <x:c r="M4" s="175" t="str">
        <x:v>Cost note</x:v>
      </x:c>
    </x:row>
    <x:row r="5" ht="32.400001525878906" hidden="0" customHeight="1">
      <x:c r="A5" s="176" t="str">
        <x:v>P0</x:v>
      </x:c>
      <x:c r="B5" s="176" t="str">
        <x:v>CAN</x:v>
      </x:c>
      <x:c r="C5" s="176" t="str">
        <x:v>CAN Pal transceiver</x:v>
      </x:c>
      <x:c r="D5" s="176" t="str">
        <x:v>Adafruit CAN Pal with selectable 120 Ω termination; PID 5708</x:v>
      </x:c>
      <x:c r="E5" s="176" t="str">
        <x:v>2 boards</x:v>
      </x:c>
      <x:c r="F5" s="176" t="n">
        <x:v>2</x:v>
      </x:c>
      <x:c r="G5" s="177" t="n">
        <x:v>3.95</x:v>
      </x:c>
      <x:c r="H5" s="177" t="n">
        <x:v>0</x:v>
      </x:c>
      <x:c r="I5" s="176" t="str">
        <x:v>DigiKey</x:v>
      </x:c>
      <x:c r="J5" s="176" t="str">
        <x:v>1528-5708-ND</x:v>
      </x:c>
      <x:c r="K5" s="194" t="str">
        <x:v>ORDERED 2026-08-31</x:v>
      </x:c>
      <x:c r="L5" s="176" t="str">
        <x:v>With board unpowered, switch termination ON and measure CANH–CANL ≈120 Ω. Current DigiKey stock is preferred over uncertain older direct stock.</x:v>
      </x:c>
      <x:c r="M5" s="176" t="str">
        <x:v>Ordered from DigiKey 2026-08-31; receive/verify on Status &amp; Gaps.</x:v>
      </x:c>
    </x:row>
    <x:row r="6" ht="21.600000381469727" hidden="0" customHeight="1">
      <x:c r="A6" s="176" t="str">
        <x:v>P0</x:v>
      </x:c>
      <x:c r="B6" s="176" t="str">
        <x:v>Encoder</x:v>
      </x:c>
      <x:c r="C6" s="176" t="str">
        <x:v>AS5048A SPI adapter kit</x:v>
      </x:c>
      <x:c r="D6" s="176" t="str">
        <x:v>ams OSRAM AS5048A-ADAPTERBOARD, 3–5.5 V SPI; kit includes AS5000-MD6H-2 diametric magnet</x:v>
      </x:c>
      <x:c r="E6" s="176" t="str">
        <x:v>1 kit</x:v>
      </x:c>
      <x:c r="F6" s="176" t="n">
        <x:v>1</x:v>
      </x:c>
      <x:c r="G6" s="177" t="n">
        <x:v>19.4</x:v>
      </x:c>
      <x:c r="H6" s="177" t="n">
        <x:v>0</x:v>
      </x:c>
      <x:c r="I6" s="176" t="str">
        <x:v>DigiKey</x:v>
      </x:c>
      <x:c r="J6" s="176" t="str">
        <x:v>4991-AS5048AADAPTERBOARD-ND</x:v>
      </x:c>
      <x:c r="K6" s="194" t="str">
        <x:v>ORDERED 2026-08-31</x:v>
      </x:c>
      <x:c r="L6" s="176" t="str">
        <x:v>Confirm the loose Ø6 × 2.5 mm magnet is physically in the bag before assembly.</x:v>
      </x:c>
      <x:c r="M6" s="176" t="str">
        <x:v>Ordered from DigiKey 2026-08-31; receive/verify on Status &amp; Gaps.</x:v>
      </x:c>
    </x:row>
    <x:row r="7" ht="21.600000381469727" hidden="0" customHeight="1">
      <x:c r="A7" s="176" t="str">
        <x:v>P0</x:v>
      </x:c>
      <x:c r="B7" s="176" t="str">
        <x:v>Encoder</x:v>
      </x:c>
      <x:c r="C7" s="176" t="str">
        <x:v>1×8 male header</x:v>
      </x:c>
      <x:c r="D7" s="176" t="str">
        <x:v>2.54 mm straight through-hole header for unpopulated AS5048A P1</x:v>
      </x:c>
      <x:c r="E7" s="176" t="str">
        <x:v>1 strip</x:v>
      </x:c>
      <x:c r="F7" s="176" t="n">
        <x:v>1</x:v>
      </x:c>
      <x:c r="G7" s="177" t="n">
        <x:v>0.89</x:v>
      </x:c>
      <x:c r="H7" s="177" t="n">
        <x:v>0</x:v>
      </x:c>
      <x:c r="I7" s="176" t="str">
        <x:v>DigiKey</x:v>
      </x:c>
      <x:c r="J7" s="176" t="str">
        <x:v>609-78511-108HLF-ND</x:v>
      </x:c>
      <x:c r="K7" s="194" t="str">
        <x:v>ORDERED 2026-08-31</x:v>
      </x:c>
      <x:c r="L7" s="176" t="str">
        <x:v>Dry-fit orientation before soldering; P1 is delivered unpopulated.</x:v>
      </x:c>
      <x:c r="M7" s="176" t="str">
        <x:v>Ordered from DigiKey 2026-08-31; receive/verify on Status &amp; Gaps.</x:v>
      </x:c>
    </x:row>
    <x:row r="8" ht="21.600000381469727" hidden="0" customHeight="1">
      <x:c r="A8" s="176" t="str">
        <x:v>P0</x:v>
      </x:c>
      <x:c r="B8" s="176" t="str">
        <x:v>Power</x:v>
      </x:c>
      <x:c r="C8" s="176" t="str">
        <x:v>Current-limited bench PSU</x:v>
      </x:c>
      <x:c r="D8" s="176" t="str">
        <x:v>NICE-POWER SPS305, 0–30 V / 0–5 A, CV/CC</x:v>
      </x:c>
      <x:c r="E8" s="176" t="str">
        <x:v>1 supply</x:v>
      </x:c>
      <x:c r="F8" s="176" t="n">
        <x:v>1</x:v>
      </x:c>
      <x:c r="G8" s="177" t="n">
        <x:v>38.99</x:v>
      </x:c>
      <x:c r="H8" s="177" t="n">
        <x:f>ROUND(F8*G8,2)</x:f>
        <x:v>38.99</x:v>
      </x:c>
      <x:c r="I8" s="176" t="str">
        <x:v>Walmart</x:v>
      </x:c>
      <x:c r="J8" s="176" t="str">
        <x:v>SPS305</x:v>
      </x:c>
      <x:c r="K8" s="178" t="str">
        <x:v>URL tab →</x:v>
      </x:c>
      <x:c r="L8" s="176" t="str">
        <x:v>Before connecting an actuator: set voltage with output unloaded, set a low current limit, and confirm polarity with a DMM.</x:v>
      </x:c>
      <x:c r="M8" s="176" t="str">
        <x:v>Free shipping shown when checked; never rely on this supply to absorb regeneration.</x:v>
      </x:c>
    </x:row>
    <x:row r="9" ht="21.600000381469727" hidden="0" customHeight="1">
      <x:c r="A9" s="176" t="str">
        <x:v>P0</x:v>
      </x:c>
      <x:c r="B9" s="176" t="str">
        <x:v>Logging</x:v>
      </x:c>
      <x:c r="C9" s="176" t="str">
        <x:v>32 GB SanDisk Extreme microSDHC</x:v>
      </x:c>
      <x:c r="D9" s="176" t="str">
        <x:v>2-pack, A2 / U3 / V30 / Class 10; B&amp;H SA32EUIMSDC2</x:v>
      </x:c>
      <x:c r="E9" s="176" t="str">
        <x:v>2 cards</x:v>
      </x:c>
      <x:c r="F9" s="176" t="n">
        <x:v>1</x:v>
      </x:c>
      <x:c r="G9" s="177" t="n">
        <x:v>51.98</x:v>
      </x:c>
      <x:c r="H9" s="177" t="n">
        <x:f>ROUND(F9*G9,2)</x:f>
        <x:v>51.98</x:v>
      </x:c>
      <x:c r="I9" s="176" t="str">
        <x:v>B&amp;H Photo</x:v>
      </x:c>
      <x:c r="J9" s="176" t="str">
        <x:v>SA32EUIMSDC2</x:v>
      </x:c>
      <x:c r="K9" s="178" t="str">
        <x:v>URL tab →</x:v>
      </x:c>
      <x:c r="L9" s="176" t="str">
        <x:v>Format and perform a write/read test on both cards. Keep one as a known-good spare.</x:v>
      </x:c>
      <x:c r="M9" s="176" t="str">
        <x:v>2-pack; free standard shipping shown.</x:v>
      </x:c>
    </x:row>
    <x:row r="10" ht="21.600000381469727" hidden="0" customHeight="1">
      <x:c r="A10" s="176" t="str">
        <x:v>P0</x:v>
      </x:c>
      <x:c r="B10" s="176" t="str">
        <x:v>Fixture</x:v>
      </x:c>
      <x:c r="C10" s="176" t="str">
        <x:v>6 in. C-clamp</x:v>
      </x:c>
      <x:c r="D10" s="176" t="str">
        <x:v>Pittsburgh industrial C-clamp, 6 in.</x:v>
      </x:c>
      <x:c r="E10" s="176" t="str">
        <x:v>2 clamps</x:v>
      </x:c>
      <x:c r="F10" s="176" t="n">
        <x:v>2</x:v>
      </x:c>
      <x:c r="G10" s="177" t="n">
        <x:v>6.99</x:v>
      </x:c>
      <x:c r="H10" s="177" t="n">
        <x:f>ROUND(F10*G10,2)</x:f>
        <x:v>13.98</x:v>
      </x:c>
      <x:c r="I10" s="176" t="str">
        <x:v>Harbor Freight</x:v>
      </x:c>
      <x:c r="J10" s="176" t="str">
        <x:v>37850</x:v>
      </x:c>
      <x:c r="K10" s="178" t="str">
        <x:v>URL tab →</x:v>
      </x:c>
      <x:c r="L10" s="176" t="str">
        <x:v>Inspect screw, swivel pad, and frame; clamp the stand to a rigid bench before any powered motion.</x:v>
      </x:c>
      <x:c r="M10" s="176" t="str">
        <x:v>Use local pickup near Los Altos to avoid shipping.</x:v>
      </x:c>
    </x:row>
    <x:row r="11" ht="21.600000381469727" hidden="0" customHeight="1">
      <x:c r="A11" s="176" t="str">
        <x:v>P0</x:v>
      </x:c>
      <x:c r="B11" s="176" t="str">
        <x:v>Fasteners</x:v>
      </x:c>
      <x:c r="C11" s="176" t="str">
        <x:v>M2.5×12 socket cap screws</x:v>
      </x:c>
      <x:c r="D11" s="176" t="str">
        <x:v>Metric socket head cap screw, package of 20</x:v>
      </x:c>
      <x:c r="E11" s="176" t="str">
        <x:v>6 pcs</x:v>
      </x:c>
      <x:c r="F11" s="176" t="n">
        <x:v>1</x:v>
      </x:c>
      <x:c r="G11" s="177" t="n">
        <x:v>4.4</x:v>
      </x:c>
      <x:c r="H11" s="177" t="n">
        <x:f>ROUND(F11*G11,2)</x:f>
        <x:v>4.4</x:v>
      </x:c>
      <x:c r="I11" s="176" t="str">
        <x:v>Micro Fasteners</x:v>
      </x:c>
      <x:c r="J11" s="176" t="str">
        <x:v>SCM2512</x:v>
      </x:c>
      <x:c r="K11" s="178" t="str">
        <x:v>URL tab →</x:v>
      </x:c>
      <x:c r="L11" s="176" t="str">
        <x:v>Count 6 usable screws; check thread engagement in wheel motor without bottoming.</x:v>
      </x:c>
      <x:c r="M11" s="176" t="str">
        <x:v>$20 vendor minimum is met by the six screw packages together.</x:v>
      </x:c>
    </x:row>
    <x:row r="12" ht="15" hidden="0" customHeight="1">
      <x:c r="A12" s="176" t="str">
        <x:v>P0</x:v>
      </x:c>
      <x:c r="B12" s="176" t="str">
        <x:v>Fasteners</x:v>
      </x:c>
      <x:c r="C12" s="176" t="str">
        <x:v>M3×6 socket cap screws</x:v>
      </x:c>
      <x:c r="D12" s="176" t="str">
        <x:v>Metric socket head cap screw, package of 20</x:v>
      </x:c>
      <x:c r="E12" s="176" t="str">
        <x:v>3 pcs</x:v>
      </x:c>
      <x:c r="F12" s="176" t="n">
        <x:v>1</x:v>
      </x:c>
      <x:c r="G12" s="177" t="n">
        <x:v>2.8</x:v>
      </x:c>
      <x:c r="H12" s="177" t="n">
        <x:f>ROUND(F12*G12,2)</x:f>
        <x:v>2.8</x:v>
      </x:c>
      <x:c r="I12" s="176" t="str">
        <x:v>Micro Fasteners</x:v>
      </x:c>
      <x:c r="J12" s="176" t="str">
        <x:v>SCM3006</x:v>
      </x:c>
      <x:c r="K12" s="178" t="str">
        <x:v>URL tab →</x:v>
      </x:c>
      <x:c r="L12" s="176" t="str">
        <x:v>Reserve 3 for the printed knee stop plate.</x:v>
      </x:c>
      <x:c r="M12" s="176" t="str">
        <x:v>Same Micro Fasteners cart.</x:v>
      </x:c>
    </x:row>
    <x:row r="13" ht="21.600000381469727" hidden="0" customHeight="1">
      <x:c r="A13" s="176" t="str">
        <x:v>P0</x:v>
      </x:c>
      <x:c r="B13" s="176" t="str">
        <x:v>Fasteners</x:v>
      </x:c>
      <x:c r="C13" s="176" t="str">
        <x:v>M3×8 socket cap screws</x:v>
      </x:c>
      <x:c r="D13" s="176" t="str">
        <x:v>Metric socket head cap screw, package of 20</x:v>
      </x:c>
      <x:c r="E13" s="176" t="str">
        <x:v>15 pcs</x:v>
      </x:c>
      <x:c r="F13" s="176" t="n">
        <x:v>1</x:v>
      </x:c>
      <x:c r="G13" s="177" t="n">
        <x:v>3.95</x:v>
      </x:c>
      <x:c r="H13" s="177" t="n">
        <x:f>ROUND(F13*G13,2)</x:f>
        <x:v>3.95</x:v>
      </x:c>
      <x:c r="I13" s="176" t="str">
        <x:v>Micro Fasteners</x:v>
      </x:c>
      <x:c r="J13" s="176" t="str">
        <x:v>SCM3008</x:v>
      </x:c>
      <x:c r="K13" s="178" t="str">
        <x:v>URL tab →</x:v>
      </x:c>
      <x:c r="L13" s="176" t="str">
        <x:v>15 includes the optional Mode A rear cable anchor; 13 are needed without it.</x:v>
      </x:c>
      <x:c r="M13" s="176" t="str">
        <x:v>Same Micro Fasteners cart.</x:v>
      </x:c>
    </x:row>
    <x:row r="14" ht="15" hidden="0" customHeight="1">
      <x:c r="A14" s="176" t="str">
        <x:v>P0</x:v>
      </x:c>
      <x:c r="B14" s="176" t="str">
        <x:v>Fasteners</x:v>
      </x:c>
      <x:c r="C14" s="176" t="str">
        <x:v>M3×10 socket cap screws</x:v>
      </x:c>
      <x:c r="D14" s="176" t="str">
        <x:v>Metric socket head cap screw, package of 20</x:v>
      </x:c>
      <x:c r="E14" s="176" t="str">
        <x:v>11 pcs</x:v>
      </x:c>
      <x:c r="F14" s="176" t="n">
        <x:v>1</x:v>
      </x:c>
      <x:c r="G14" s="177" t="n">
        <x:v>2.95</x:v>
      </x:c>
      <x:c r="H14" s="177" t="n">
        <x:f>ROUND(F14*G14,2)</x:f>
        <x:v>2.95</x:v>
      </x:c>
      <x:c r="I14" s="176" t="str">
        <x:v>Micro Fasteners</x:v>
      </x:c>
      <x:c r="J14" s="176" t="str">
        <x:v>SCM3010</x:v>
      </x:c>
      <x:c r="K14" s="178" t="str">
        <x:v>URL tab →</x:v>
      </x:c>
      <x:c r="L14" s="176" t="str">
        <x:v>6 output hub→motor + 5 chassis frame→side panel.</x:v>
      </x:c>
      <x:c r="M14" s="176" t="str">
        <x:v>Same Micro Fasteners cart.</x:v>
      </x:c>
    </x:row>
    <x:row r="15" ht="15" hidden="0" customHeight="1">
      <x:c r="A15" s="176" t="str">
        <x:v>P0</x:v>
      </x:c>
      <x:c r="B15" s="176" t="str">
        <x:v>Fasteners</x:v>
      </x:c>
      <x:c r="C15" s="176" t="str">
        <x:v>M3×16 socket cap screws</x:v>
      </x:c>
      <x:c r="D15" s="176" t="str">
        <x:v>Metric socket head cap screw, package of 20</x:v>
      </x:c>
      <x:c r="E15" s="176" t="str">
        <x:v>4 pcs</x:v>
      </x:c>
      <x:c r="F15" s="176" t="n">
        <x:v>1</x:v>
      </x:c>
      <x:c r="G15" s="177" t="n">
        <x:v>3.1</x:v>
      </x:c>
      <x:c r="H15" s="177" t="n">
        <x:f>ROUND(F15*G15,2)</x:f>
        <x:v>3.1</x:v>
      </x:c>
      <x:c r="I15" s="176" t="str">
        <x:v>Micro Fasteners</x:v>
      </x:c>
      <x:c r="J15" s="176" t="str">
        <x:v>SCM3016</x:v>
      </x:c>
      <x:c r="K15" s="178" t="str">
        <x:v>URL tab →</x:v>
      </x:c>
      <x:c r="L15" s="176" t="str">
        <x:v>2 encoder bracket→Arm B inserts + 2 Cable Post A substitutions.</x:v>
      </x:c>
      <x:c r="M15" s="176" t="str">
        <x:v>Same Micro Fasteners cart.</x:v>
      </x:c>
    </x:row>
    <x:row r="16" ht="15" hidden="0" customHeight="1">
      <x:c r="A16" s="176" t="str">
        <x:v>P0</x:v>
      </x:c>
      <x:c r="B16" s="176" t="str">
        <x:v>Fasteners</x:v>
      </x:c>
      <x:c r="C16" s="176" t="str">
        <x:v>M4×10 socket cap screws</x:v>
      </x:c>
      <x:c r="D16" s="176" t="str">
        <x:v>Metric socket head cap screw, package of 20</x:v>
      </x:c>
      <x:c r="E16" s="176" t="str">
        <x:v>12 pcs</x:v>
      </x:c>
      <x:c r="F16" s="176" t="n">
        <x:v>1</x:v>
      </x:c>
      <x:c r="G16" s="177" t="n">
        <x:v>3.15</x:v>
      </x:c>
      <x:c r="H16" s="177" t="n">
        <x:f>ROUND(F16*G16,2)</x:f>
        <x:v>3.15</x:v>
      </x:c>
      <x:c r="I16" s="176" t="str">
        <x:v>Micro Fasteners</x:v>
      </x:c>
      <x:c r="J16" s="176" t="str">
        <x:v>SCM4010</x:v>
      </x:c>
      <x:c r="K16" s="178" t="str">
        <x:v>URL tab →</x:v>
      </x:c>
      <x:c r="L16" s="176" t="str">
        <x:v>6 proximal root→hub flange + 6 wheel rim→wheel hub.</x:v>
      </x:c>
      <x:c r="M16" s="176" t="str">
        <x:v>Same Micro Fasteners cart.</x:v>
      </x:c>
    </x:row>
    <x:row r="17" ht="21.600000381469727" hidden="0" customHeight="1">
      <x:c r="A17" s="176" t="str">
        <x:v>P0</x:v>
      </x:c>
      <x:c r="B17" s="176" t="str">
        <x:v>Inserts</x:v>
      </x:c>
      <x:c r="C17" s="176" t="str">
        <x:v>Voron-style M3 heat-set inserts</x:v>
      </x:c>
      <x:c r="D17" s="176" t="str">
        <x:v>Owner-reported AliExpress Voron family; project receiving pocket Ø4.0 × 5.0 mm; exact order variant still to verify</x:v>
      </x:c>
      <x:c r="E17" s="176" t="str">
        <x:v>14 pcs + spares</x:v>
      </x:c>
      <x:c r="F17" s="176" t="n">
        <x:v>0</x:v>
      </x:c>
      <x:c r="G17" s="177" t="n">
        <x:v>0</x:v>
      </x:c>
      <x:c r="H17" s="177" t="n">
        <x:f>ROUND(F17*G17,2)</x:f>
        <x:v>0</x:v>
      </x:c>
      <x:c r="I17" s="176" t="str">
        <x:v>Owner stock</x:v>
      </x:c>
      <x:c r="J17" s="176" t="str">
        <x:v>AliExpress order URL / variant not recorded</x:v>
      </x:c>
      <x:c r="K17" s="178" t="str">
        <x:v>OWNED — VERIFY</x:v>
      </x:c>
      <x:c r="L17" s="176" t="str">
        <x:v>Count at least 14 usable inserts and fit the exact owned insert in the Ø4.0 × 5.0 ABS coupon before installing in parts.</x:v>
      </x:c>
      <x:c r="M17" s="176" t="str">
        <x:v>Owned; excluded from the open subtotal. Do not buy the superseded PartsBuilt packs.</x:v>
      </x:c>
    </x:row>
    <x:row r="18" ht="21.600000381469727" hidden="0" customHeight="1">
      <x:c r="A18" s="176" t="str">
        <x:v>P0</x:v>
      </x:c>
      <x:c r="B18" s="176" t="str">
        <x:v>Inserts</x:v>
      </x:c>
      <x:c r="C18" s="176" t="str">
        <x:v>M4 heat/ultrasonic inserts</x:v>
      </x:c>
      <x:c r="D18" s="176" t="str">
        <x:v>PSM Tech-Sonic brass M4, exactly 5.8 mm overall length; shoulder-hub candidate only</x:v>
      </x:c>
      <x:c r="E18" s="176" t="str">
        <x:v>6 pcs</x:v>
      </x:c>
      <x:c r="F18" s="176" t="n">
        <x:v>6</x:v>
      </x:c>
      <x:c r="G18" s="177" t="n">
        <x:v>0.29</x:v>
      </x:c>
      <x:c r="H18" s="177" t="n">
        <x:v>1.74</x:v>
      </x:c>
      <x:c r="I18" s="176" t="str">
        <x:v>PSM Fasteners</x:v>
      </x:c>
      <x:c r="J18" s="176" t="str">
        <x:v>TECBM4-5.8</x:v>
      </x:c>
      <x:c r="K18" s="178" t="str">
        <x:v>URL tab →</x:v>
      </x:c>
      <x:c r="L18" s="176" t="str">
        <x:v>Fit an M4×5.8 coupon first. The owned M4×8/10 inserts are too long for the thin shoulder/wheel hub interfaces.</x:v>
      </x:c>
      <x:c r="M18" s="176" t="str">
        <x:v>Shoulder-hub candidate only. Wheel-hub receiving thread remains on Fusion design hold.</x:v>
      </x:c>
    </x:row>
    <x:row r="19" ht="15" hidden="0" customHeight="1">
      <x:c r="A19" s="176" t="str">
        <x:v>P0</x:v>
      </x:c>
      <x:c r="B19" s="176" t="str">
        <x:v>Bearings</x:v>
      </x:c>
      <x:c r="C19" s="176" t="str">
        <x:v>6800-2RS bearing</x:v>
      </x:c>
      <x:c r="D19" s="176" t="str">
        <x:v>10 × 19 × 5 mm, double rubber seal; 2-pack</x:v>
      </x:c>
      <x:c r="E19" s="176" t="str">
        <x:v>2 bearings</x:v>
      </x:c>
      <x:c r="F19" s="176" t="n">
        <x:v>1</x:v>
      </x:c>
      <x:c r="G19" s="177" t="n">
        <x:v>6.49</x:v>
      </x:c>
      <x:c r="H19" s="177" t="n">
        <x:v>0</x:v>
      </x:c>
      <x:c r="I19" s="176" t="str">
        <x:v>Walmart</x:v>
      </x:c>
      <x:c r="J19" s="176" t="str">
        <x:v>6800-2RS 2-pack</x:v>
      </x:c>
      <x:c r="K19" s="196" t="str">
        <x:v>OWNED</x:v>
      </x:c>
      <x:c r="L19" s="176" t="str">
        <x:v>Confirm 10 mm bore, 19 mm OD, 5 mm width and smooth rotation.</x:v>
      </x:c>
      <x:c r="M19" s="176" t="str">
        <x:v>Two bearings are in hand per the project README; excluded from the open subtotal.</x:v>
      </x:c>
    </x:row>
    <x:row r="20" ht="21.600000381469727" hidden="0" customHeight="1">
      <x:c r="A20" s="176" t="str">
        <x:v>P0</x:v>
      </x:c>
      <x:c r="B20" s="176" t="str">
        <x:v>Washers</x:v>
      </x:c>
      <x:c r="C20" s="176" t="str">
        <x:v>M3 plain washers</x:v>
      </x:c>
      <x:c r="D20" s="176" t="str">
        <x:v>DIN EN ISO 7089 / DIN 125 A, 3.2 × 7.0 × 0.5 mm, zinc-plated steel</x:v>
      </x:c>
      <x:c r="E20" s="176" t="str">
        <x:v>6 pcs</x:v>
      </x:c>
      <x:c r="F20" s="176" t="n">
        <x:v>6</x:v>
      </x:c>
      <x:c r="G20" s="177" t="n">
        <x:v>0.3</x:v>
      </x:c>
      <x:c r="H20" s="177" t="n">
        <x:f>ROUND(F20*G20,2)</x:f>
        <x:v>1.8</x:v>
      </x:c>
      <x:c r="I20" s="176" t="str">
        <x:v>Maedler North America</x:v>
      </x:c>
      <x:c r="J20" s="176" t="str">
        <x:v>65315300</x:v>
      </x:c>
      <x:c r="K20" s="178" t="str">
        <x:v>URL tab →</x:v>
      </x:c>
      <x:c r="L20" s="176" t="str">
        <x:v>Install under the wheel-hub screw heads.</x:v>
      </x:c>
      <x:c r="M20" s="176" t="str">
        <x:v>List-price extension shown; quantity discounts may reduce checkout.</x:v>
      </x:c>
    </x:row>
    <x:row r="21" ht="21.600000381469727" hidden="0" customHeight="1">
      <x:c r="A21" s="176" t="str">
        <x:v>P0</x:v>
      </x:c>
      <x:c r="B21" s="176" t="str">
        <x:v>Washers</x:v>
      </x:c>
      <x:c r="C21" s="176" t="str">
        <x:v>M5 plain washers</x:v>
      </x:c>
      <x:c r="D21" s="176" t="str">
        <x:v>DIN EN ISO 7089 / DIN 125 A, 5.3 × 10.0 × 1.0 mm, zinc-plated steel</x:v>
      </x:c>
      <x:c r="E21" s="176" t="str">
        <x:v>20 pcs</x:v>
      </x:c>
      <x:c r="F21" s="176" t="n">
        <x:v>20</x:v>
      </x:c>
      <x:c r="G21" s="177" t="n">
        <x:v>0.3</x:v>
      </x:c>
      <x:c r="H21" s="177" t="n">
        <x:f>ROUND(F21*G21,2)</x:f>
        <x:v>6</x:v>
      </x:c>
      <x:c r="I21" s="176" t="str">
        <x:v>Maedler North America</x:v>
      </x:c>
      <x:c r="J21" s="176" t="str">
        <x:v>65315500</x:v>
      </x:c>
      <x:c r="K21" s="178" t="str">
        <x:v>URL tab →</x:v>
      </x:c>
      <x:c r="L21" s="176" t="str">
        <x:v>Confirm all three dimensions; these are the 1.0 mm stack washers in the design record.</x:v>
      </x:c>
      <x:c r="M21" s="176" t="str">
        <x:v>List-price extension shown; quantity discounts may reduce checkout.</x:v>
      </x:c>
    </x:row>
    <x:row r="22" ht="21.600000381469727" hidden="0" customHeight="1">
      <x:c r="A22" s="176" t="str">
        <x:v>P0</x:v>
      </x:c>
      <x:c r="B22" s="176" t="str">
        <x:v>Shims</x:v>
      </x:c>
      <x:c r="C22" s="176" t="str">
        <x:v>M5 shim rings — 0.2 mm</x:v>
      </x:c>
      <x:c r="D22" s="176" t="str">
        <x:v>DIN 988, 5 × 10 × 0.2 mm, steel</x:v>
      </x:c>
      <x:c r="E22" s="176" t="str">
        <x:v>10 pcs</x:v>
      </x:c>
      <x:c r="F22" s="176" t="n">
        <x:v>10</x:v>
      </x:c>
      <x:c r="G22" s="177" t="n">
        <x:v>0.15</x:v>
      </x:c>
      <x:c r="H22" s="177" t="n">
        <x:f>ROUND(F22*G22,2)</x:f>
        <x:v>1.5</x:v>
      </x:c>
      <x:c r="I22" s="176" t="str">
        <x:v>Maedler North America</x:v>
      </x:c>
      <x:c r="J22" s="176" t="str">
        <x:v>624305102</x:v>
      </x:c>
      <x:c r="K22" s="178" t="str">
        <x:v>URL tab →</x:v>
      </x:c>
      <x:c r="L22" s="176" t="str">
        <x:v>Keep thicknesses in separately labeled bags.</x:v>
      </x:c>
      <x:c r="M22" s="176" t="str">
        <x:v>List-price extension shown; 10-piece tier may be lower.</x:v>
      </x:c>
    </x:row>
    <x:row r="23" ht="15" hidden="0" customHeight="1">
      <x:c r="A23" s="176" t="str">
        <x:v>P0</x:v>
      </x:c>
      <x:c r="B23" s="176" t="str">
        <x:v>Shims</x:v>
      </x:c>
      <x:c r="C23" s="176" t="str">
        <x:v>M5 shim rings — 0.3 mm</x:v>
      </x:c>
      <x:c r="D23" s="176" t="str">
        <x:v>DIN 988, 5 × 10 × 0.3 mm, steel</x:v>
      </x:c>
      <x:c r="E23" s="176" t="str">
        <x:v>10 pcs</x:v>
      </x:c>
      <x:c r="F23" s="176" t="n">
        <x:v>10</x:v>
      </x:c>
      <x:c r="G23" s="177" t="n">
        <x:v>0.13</x:v>
      </x:c>
      <x:c r="H23" s="177" t="n">
        <x:f>ROUND(F23*G23,2)</x:f>
        <x:v>1.3</x:v>
      </x:c>
      <x:c r="I23" s="176" t="str">
        <x:v>Maedler North America</x:v>
      </x:c>
      <x:c r="J23" s="176" t="str">
        <x:v>624305104</x:v>
      </x:c>
      <x:c r="K23" s="178" t="str">
        <x:v>URL tab →</x:v>
      </x:c>
      <x:c r="L23" s="176" t="str">
        <x:v>Keep thicknesses in separately labeled bags.</x:v>
      </x:c>
      <x:c r="M23" s="176" t="str">
        <x:v>List-price extension shown; verify price at checkout.</x:v>
      </x:c>
    </x:row>
    <x:row r="24" ht="21.600000381469727" hidden="0" customHeight="1">
      <x:c r="A24" s="176" t="str">
        <x:v>P0</x:v>
      </x:c>
      <x:c r="B24" s="176" t="str">
        <x:v>Shims</x:v>
      </x:c>
      <x:c r="C24" s="176" t="str">
        <x:v>M5 shim rings — 0.5 mm</x:v>
      </x:c>
      <x:c r="D24" s="176" t="str">
        <x:v>DIN 988, 5 × 10 × 0.5 mm, steel</x:v>
      </x:c>
      <x:c r="E24" s="176" t="str">
        <x:v>10 pcs</x:v>
      </x:c>
      <x:c r="F24" s="176" t="n">
        <x:v>10</x:v>
      </x:c>
      <x:c r="G24" s="177" t="n">
        <x:v>0.15</x:v>
      </x:c>
      <x:c r="H24" s="177" t="n">
        <x:f>ROUND(F24*G24,2)</x:f>
        <x:v>1.5</x:v>
      </x:c>
      <x:c r="I24" s="176" t="str">
        <x:v>Maedler North America</x:v>
      </x:c>
      <x:c r="J24" s="176" t="str">
        <x:v>624305105</x:v>
      </x:c>
      <x:c r="K24" s="178" t="str">
        <x:v>URL tab →</x:v>
      </x:c>
      <x:c r="L24" s="176" t="str">
        <x:v>Keep thicknesses in separately labeled bags.</x:v>
      </x:c>
      <x:c r="M24" s="176" t="str">
        <x:v>List-price extension shown; 10-piece tier may be lower.</x:v>
      </x:c>
    </x:row>
    <x:row r="25" ht="21.600000381469727" hidden="0" customHeight="1">
      <x:c r="A25" s="176" t="str">
        <x:v>P0</x:v>
      </x:c>
      <x:c r="B25" s="176" t="str">
        <x:v>Pins</x:v>
      </x:c>
      <x:c r="C25" s="176" t="str">
        <x:v>Ø4 × 10 hardened dowel</x:v>
      </x:c>
      <x:c r="D25" s="176" t="str">
        <x:v>Olander DIN 6325 hardened/ground dowel pin, 4 × 10 mm</x:v>
      </x:c>
      <x:c r="E25" s="176" t="str">
        <x:v>3 pins</x:v>
      </x:c>
      <x:c r="F25" s="176" t="n">
        <x:v>3</x:v>
      </x:c>
      <x:c r="G25" s="177" t="n">
        <x:v>0.603</x:v>
      </x:c>
      <x:c r="H25" s="177" t="n">
        <x:f>ROUND(F25*G25,2)</x:f>
        <x:v>1.81</x:v>
      </x:c>
      <x:c r="I25" s="176" t="str">
        <x:v>Olander</x:v>
      </x:c>
      <x:c r="J25" s="176" t="str">
        <x:v>.4R10DOWA</x:v>
      </x:c>
      <x:c r="K25" s="178" t="str">
        <x:v>URL tab →</x:v>
      </x:c>
      <x:c r="L25" s="176" t="str">
        <x:v>Confirm diameter and length against the corresponding printed coupon before installing.</x:v>
      </x:c>
      <x:c r="M25" s="176" t="str">
        <x:v>Specialist-cart shipping is not included.</x:v>
      </x:c>
    </x:row>
    <x:row r="26" ht="15" hidden="0" customHeight="1">
      <x:c r="A26" s="179" t="str">
        <x:v>OPEN DIRECT-ORDER LIST SUBTOTAL — excludes ordered/in-transit, owned, tax, shipping, RFQ items and conditional purchases</x:v>
      </x:c>
      <x:c r="B26" s="179"/>
      <x:c r="C26" s="179"/>
      <x:c r="D26" s="179"/>
      <x:c r="E26" s="179"/>
      <x:c r="F26" s="179"/>
      <x:c r="G26" s="180"/>
      <x:c r="H26" s="180" t="n">
        <x:f>SUM(H5:H25)</x:f>
        <x:v>140.95000000000002</x:v>
      </x:c>
      <x:c r="I26" s="179"/>
      <x:c r="J26" s="179"/>
      <x:c r="K26" s="179"/>
      <x:c r="L26" s="179"/>
      <x:c r="M26" s="179"/>
    </x:row>
  </x:sheetData>
  <x:mergeCells>
    <x:mergeCell ref="A1:M1"/>
    <x:mergeCell ref="A2:M2"/>
    <x:mergeCell ref="A26:G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24" hidden="0" customWidth="1"/>
    <x:col min="4" max="4" width="35" hidden="0" customWidth="1"/>
    <x:col min="5" max="5" width="43" hidden="0" customWidth="1"/>
    <x:col min="6" max="6" width="7" hidden="0" customWidth="1"/>
    <x:col min="7" max="7" width="11" hidden="0" customWidth="1"/>
    <x:col min="8" max="8" width="11" hidden="0" customWidth="1"/>
    <x:col min="9" max="9" width="17" hidden="0" customWidth="1"/>
    <x:col min="10" max="10" width="20" hidden="0" customWidth="1"/>
    <x:col min="11" max="11" width="10" hidden="0" customWidth="1"/>
    <x:col min="12" max="12" width="39" hidden="0" customWidth="1"/>
  </x:cols>
  <x:sheetData>
    <x:row r="1" ht="21.600000381469727" hidden="0" customHeight="1">
      <x:c r="A1" s="145" t="str">
        <x:v>Conditional purchases — check the workshop first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</x:row>
    <x:row r="2" ht="15" hidden="0" customHeight="1">
      <x:c r="A2" s="146" t="str">
        <x:v>Buy these only when the trigger is reached. PA-CF/PA-GF structural-print items remain outside the ABS single-leg integration phase.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</x:row>
    <x:row r="3" ht="15" hidden="0" customHeight="1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</x:row>
    <x:row r="4" ht="15" hidden="0" customHeight="1">
      <x:c r="A4" s="175" t="str">
        <x:v>Phase</x:v>
      </x:c>
      <x:c r="B4" s="175" t="str">
        <x:v>Category</x:v>
      </x:c>
      <x:c r="C4" s="175" t="str">
        <x:v>Item</x:v>
      </x:c>
      <x:c r="D4" s="175" t="str">
        <x:v>Exact specification</x:v>
      </x:c>
      <x:c r="E4" s="175" t="str">
        <x:v>Trigger to buy</x:v>
      </x:c>
      <x:c r="F4" s="175" t="str">
        <x:v>Qty</x:v>
      </x:c>
      <x:c r="G4" s="175" t="str">
        <x:v>Price</x:v>
      </x:c>
      <x:c r="H4" s="175" t="str">
        <x:v>Extended</x:v>
      </x:c>
      <x:c r="I4" s="175" t="str">
        <x:v>Supplier</x:v>
      </x:c>
      <x:c r="J4" s="175" t="str">
        <x:v>Part / SKU</x:v>
      </x:c>
      <x:c r="K4" s="175" t="str">
        <x:v>Order</x:v>
      </x:c>
      <x:c r="L4" s="175" t="str">
        <x:v>Notes</x:v>
      </x:c>
    </x:row>
    <x:row r="5" ht="21.600000381469727" hidden="0" customHeight="1">
      <x:c r="A5" s="181" t="str">
        <x:v>Now if missing</x:v>
      </x:c>
      <x:c r="B5" s="176" t="str">
        <x:v>Safety</x:v>
      </x:c>
      <x:c r="C5" s="176" t="str">
        <x:v>XT30 connector pair</x:v>
      </x:c>
      <x:c r="D5" s="176" t="str">
        <x:v>Genuine Amass XT30 male + female pair</x:v>
      </x:c>
      <x:c r="E5" s="176" t="str">
        <x:v>Buy only if the supplied harness does not already provide a convenient one-motion power disconnect.</x:v>
      </x:c>
      <x:c r="F5" s="176" t="n">
        <x:v>1</x:v>
      </x:c>
      <x:c r="G5" s="177" t="n">
        <x:v>1.79</x:v>
      </x:c>
      <x:c r="H5" s="177" t="n">
        <x:f>ROUND(F5*G5,2)</x:f>
        <x:v>1.79</x:v>
      </x:c>
      <x:c r="I5" s="176" t="str">
        <x:v>Stevens Aero</x:v>
      </x:c>
      <x:c r="J5" s="176" t="str">
        <x:v>XT30 pair</x:v>
      </x:c>
      <x:c r="K5" s="178" t="str">
        <x:v>URL tab →</x:v>
      </x:c>
      <x:c r="L5" s="176" t="str">
        <x:v>Recommended safety harness, not a canonical battery loop-key stage; the current rig uses a bench PSU.</x:v>
      </x:c>
    </x:row>
    <x:row r="6" ht="21.600000381469727" hidden="0" customHeight="1">
      <x:c r="A6" s="181" t="str">
        <x:v>Now if missing</x:v>
      </x:c>
      <x:c r="B6" s="176" t="str">
        <x:v>Power</x:v>
      </x:c>
      <x:c r="C6" s="176" t="str">
        <x:v>18 AWG red/black silicone wire</x:v>
      </x:c>
      <x:c r="D6" s="176" t="str">
        <x:v>10 ft red + 10 ft black, stranded tinned copper</x:v>
      </x:c>
      <x:c r="E6" s="176" t="str">
        <x:v>Buy if your on-hand hookup wire is not 16–18 AWG motor-current wire.</x:v>
      </x:c>
      <x:c r="F6" s="176" t="n">
        <x:v>1</x:v>
      </x:c>
      <x:c r="G6" s="177" t="n">
        <x:v>9.99</x:v>
      </x:c>
      <x:c r="H6" s="177" t="n">
        <x:f>ROUND(F6*G6,2)</x:f>
        <x:v>9.99</x:v>
      </x:c>
      <x:c r="I6" s="176" t="str">
        <x:v>Fermerry</x:v>
      </x:c>
      <x:c r="J6" s="176" t="str">
        <x:v>18AWG 10 ft pair</x:v>
      </x:c>
      <x:c r="K6" s="178" t="str">
        <x:v>URL tab →</x:v>
      </x:c>
      <x:c r="L6" s="176" t="str">
        <x:v>Breadboard wire is logic-only. Solder the actuator power path; do not carry motor current through a breadboard.</x:v>
      </x:c>
    </x:row>
    <x:row r="7" ht="21.600000381469727" hidden="0" customHeight="1">
      <x:c r="A7" s="181" t="str">
        <x:v>Now if missing</x:v>
      </x:c>
      <x:c r="B7" s="176" t="str">
        <x:v>Metrology</x:v>
      </x:c>
      <x:c r="C7" s="176" t="str">
        <x:v>Dial indicator + magnetic base</x:v>
      </x:c>
      <x:c r="D7" s="176" t="str">
        <x:v>0–1 in., 0.001 in. graduation, fine-adjust base</x:v>
      </x:c>
      <x:c r="E7" s="176" t="str">
        <x:v>Buy or borrow before setting the magnet carrier; required to verify ≤0.05 mm TIR.</x:v>
      </x:c>
      <x:c r="F7" s="176" t="n">
        <x:v>1</x:v>
      </x:c>
      <x:c r="G7" s="177" t="n">
        <x:v>35.99</x:v>
      </x:c>
      <x:c r="H7" s="177" t="n">
        <x:f>ROUND(F7*G7,2)</x:f>
        <x:v>35.99</x:v>
      </x:c>
      <x:c r="I7" s="176" t="str">
        <x:v>ProlineMax</x:v>
      </x:c>
      <x:c r="J7" s="176" t="str">
        <x:v>0–1 in. dial indicator kit</x:v>
      </x:c>
      <x:c r="K7" s="178" t="str">
        <x:v>URL tab →</x:v>
      </x:c>
      <x:c r="L7" s="176" t="str">
        <x:v>0.001 in. = 0.0254 mm, sufficient to resolve the stated TIR limit.</x:v>
      </x:c>
    </x:row>
    <x:row r="8" ht="21.600000381469727" hidden="0" customHeight="1">
      <x:c r="A8" s="181" t="str">
        <x:v>Now if missing</x:v>
      </x:c>
      <x:c r="B8" s="176" t="str">
        <x:v>Electrical</x:v>
      </x:c>
      <x:c r="C8" s="176" t="str">
        <x:v>Digital multimeter</x:v>
      </x:c>
      <x:c r="D8" s="176" t="str">
        <x:v>DC voltage, resistance and continuity</x:v>
      </x:c>
      <x:c r="E8" s="176" t="str">
        <x:v>Buy only if you do not own a working DMM.</x:v>
      </x:c>
      <x:c r="F8" s="176" t="n">
        <x:v>1</x:v>
      </x:c>
      <x:c r="G8" s="177" t="n">
        <x:v>7.99</x:v>
      </x:c>
      <x:c r="H8" s="177" t="n">
        <x:f>ROUND(F8*G8,2)</x:f>
        <x:v>7.99</x:v>
      </x:c>
      <x:c r="I8" s="176" t="str">
        <x:v>Harbor Freight</x:v>
      </x:c>
      <x:c r="J8" s="176" t="str">
        <x:v>59434</x:v>
      </x:c>
      <x:c r="K8" s="178" t="str">
        <x:v>URL tab →</x:v>
      </x:c>
      <x:c r="L8" s="176" t="str">
        <x:v>Adequate for polarity, CAN termination resistance and continuity; not a substitute for a milliohm meter.</x:v>
      </x:c>
    </x:row>
    <x:row r="9" ht="21.600000381469727" hidden="0" customHeight="1">
      <x:c r="A9" s="181" t="str">
        <x:v>Two-leg structural build</x:v>
      </x:c>
      <x:c r="B9" s="176" t="str">
        <x:v>Metrology</x:v>
      </x:c>
      <x:c r="C9" s="176" t="str">
        <x:v>5 kg / 11 lb digital kitchen scale</x:v>
      </x:c>
      <x:c r="D9" s="176" t="str">
        <x:v>Gram display, tare function, ≥5 kg capacity</x:v>
      </x:c>
      <x:c r="E9" s="176" t="str">
        <x:v>Buy or borrow before the deferred force/torque and spring-characterization campaign.</x:v>
      </x:c>
      <x:c r="F9" s="176" t="n">
        <x:v>1</x:v>
      </x:c>
      <x:c r="G9" s="177" t="n">
        <x:v>9.79</x:v>
      </x:c>
      <x:c r="H9" s="177" t="n">
        <x:f>ROUND(F9*G9,2)</x:f>
        <x:v>9.79</x:v>
      </x:c>
      <x:c r="I9" s="176" t="str">
        <x:v>Target</x:v>
      </x:c>
      <x:c r="J9" s="176" t="str">
        <x:v>GoodCook 11 lb</x:v>
      </x:c>
      <x:c r="K9" s="178" t="str">
        <x:v>URL tab →</x:v>
      </x:c>
      <x:c r="L9" s="176" t="str">
        <x:v>Not required for wiring, latency, CAN soak or wheel-clear/current-limited commissioning. Use known water masses or verified masses later.</x:v>
      </x:c>
    </x:row>
    <x:row r="10" ht="15" hidden="0" customHeight="1">
      <x:c r="A10" s="181" t="str">
        <x:v>Now if missing</x:v>
      </x:c>
      <x:c r="B10" s="176" t="str">
        <x:v>Assembly</x:v>
      </x:c>
      <x:c r="C10" s="176" t="str">
        <x:v>Metric ball-end hex key set</x:v>
      </x:c>
      <x:c r="D10" s="176" t="str">
        <x:v>13-piece metric L-key set</x:v>
      </x:c>
      <x:c r="E10" s="176" t="str">
        <x:v>Buy only if you do not own 2.0, 2.5 and 3.0 mm hex keys.</x:v>
      </x:c>
      <x:c r="F10" s="176" t="n">
        <x:v>1</x:v>
      </x:c>
      <x:c r="G10" s="177" t="n">
        <x:v>6.99</x:v>
      </x:c>
      <x:c r="H10" s="177" t="n">
        <x:f>ROUND(F10*G10,2)</x:f>
        <x:v>6.99</x:v>
      </x:c>
      <x:c r="I10" s="176" t="str">
        <x:v>Harbor Freight</x:v>
      </x:c>
      <x:c r="J10" s="176" t="str">
        <x:v>96416</x:v>
      </x:c>
      <x:c r="K10" s="178" t="str">
        <x:v>URL tab →</x:v>
      </x:c>
      <x:c r="L10" s="176" t="str">
        <x:v>Local pickup minimizes cost.</x:v>
      </x:c>
    </x:row>
    <x:row r="11" ht="15" hidden="0" customHeight="1">
      <x:c r="A11" s="182" t="str">
        <x:v>Print only if missing</x:v>
      </x:c>
      <x:c r="B11" s="176" t="str">
        <x:v>Material</x:v>
      </x:c>
      <x:c r="C11" s="176" t="str">
        <x:v>TPU 95A HF</x:v>
      </x:c>
      <x:c r="D11" s="176" t="str">
        <x:v>Bambu Lab TPU 95A HF, 1 kg</x:v>
      </x:c>
      <x:c r="E11" s="176" t="str">
        <x:v>Buy only if you lack TPU for Wheel_Tyre_TPU95A.</x:v>
      </x:c>
      <x:c r="F11" s="176" t="n">
        <x:v>1</x:v>
      </x:c>
      <x:c r="G11" s="177" t="n">
        <x:v>41.99</x:v>
      </x:c>
      <x:c r="H11" s="177" t="n">
        <x:f>ROUND(F11*G11,2)</x:f>
        <x:v>41.99</x:v>
      </x:c>
      <x:c r="I11" s="176" t="str">
        <x:v>Bambu Lab</x:v>
      </x:c>
      <x:c r="J11" s="176" t="str">
        <x:v>TPU 95A HF</x:v>
      </x:c>
      <x:c r="K11" s="178" t="str">
        <x:v>URL tab →</x:v>
      </x:c>
      <x:c r="L11" s="176" t="str">
        <x:v>ABS is not a substitute for the compliant tyre.</x:v>
      </x:c>
    </x:row>
    <x:row r="12" ht="32.400001525878906" hidden="0" customHeight="1">
      <x:c r="A12" s="183" t="str">
        <x:v>Two-leg structural build</x:v>
      </x:c>
      <x:c r="B12" s="176" t="str">
        <x:v>Material</x:v>
      </x:c>
      <x:c r="C12" s="176" t="str">
        <x:v>PA6-CF</x:v>
      </x:c>
      <x:c r="D12" s="176" t="str">
        <x:v>Bambu Lab PA6-CF, initial 1 kg spool</x:v>
      </x:c>
      <x:c r="E12" s="176" t="str">
        <x:v>Buy immediately before the two-leg structural prints, after the complete ABS single-leg integration article is accepted.</x:v>
      </x:c>
      <x:c r="F12" s="176" t="n">
        <x:v>1</x:v>
      </x:c>
      <x:c r="G12" s="177" t="n">
        <x:v>42.99</x:v>
      </x:c>
      <x:c r="H12" s="177" t="n">
        <x:f>ROUND(F12*G12,2)</x:f>
        <x:v>42.99</x:v>
      </x:c>
      <x:c r="I12" s="176" t="str">
        <x:v>Bambu Lab</x:v>
      </x:c>
      <x:c r="J12" s="176" t="str">
        <x:v>PA6-CF</x:v>
      </x:c>
      <x:c r="K12" s="178" t="str">
        <x:v>URL tab →</x:v>
      </x:c>
      <x:c r="L12" s="176" t="str">
        <x:v>Deferred by owner decision 2026-09-02 until the two-leg structural build; do not buy for the ABS single-leg integration article.</x:v>
      </x:c>
    </x:row>
    <x:row r="13" ht="21.600000381469727" hidden="0" customHeight="1">
      <x:c r="A13" s="183" t="str">
        <x:v>Two-leg structural build</x:v>
      </x:c>
      <x:c r="B13" s="176" t="str">
        <x:v>Printer</x:v>
      </x:c>
      <x:c r="C13" s="176" t="str">
        <x:v>0.6 mm hardened hotend</x:v>
      </x:c>
      <x:c r="D13" s="176" t="str">
        <x:v>Bambu hotend for H2 Series, 0.6 mm hardened nozzle</x:v>
      </x:c>
      <x:c r="E13" s="176" t="str">
        <x:v>Buy with PA6-CF only if the selected printer does not already have the required hardened 0.6 mm hotend.</x:v>
      </x:c>
      <x:c r="F13" s="176" t="n">
        <x:v>1</x:v>
      </x:c>
      <x:c r="G13" s="177" t="n">
        <x:v>20.99</x:v>
      </x:c>
      <x:c r="H13" s="177" t="n">
        <x:f>ROUND(F13*G13,2)</x:f>
        <x:v>20.99</x:v>
      </x:c>
      <x:c r="I13" s="176" t="str">
        <x:v>Bambu Lab</x:v>
      </x:c>
      <x:c r="J13" s="176" t="str">
        <x:v>H2 Series hotend 0.6</x:v>
      </x:c>
      <x:c r="K13" s="178" t="str">
        <x:v>URL tab →</x:v>
      </x:c>
      <x:c r="L13" s="176" t="str">
        <x:v>Deferred with PA6-CF until the two-leg structural build; inventory first and buy only if missing then.</x:v>
      </x:c>
    </x:row>
    <x:row r="14" ht="15" hidden="0" customHeight="1">
      <x:c r="A14" s="184" t="str">
        <x:v>MAXIMUM IF EVERY CONDITIONAL LINE IS MISSING — do not order this entire sheet blindly</x:v>
      </x:c>
      <x:c r="B14" s="184"/>
      <x:c r="C14" s="184"/>
      <x:c r="D14" s="184"/>
      <x:c r="E14" s="184"/>
      <x:c r="F14" s="184"/>
      <x:c r="G14" s="185"/>
      <x:c r="H14" s="185" t="n">
        <x:f>SUM(H5:H13)</x:f>
        <x:v>178.51000000000002</x:v>
      </x:c>
      <x:c r="I14" s="184"/>
      <x:c r="J14" s="184"/>
      <x:c r="K14" s="184"/>
      <x:c r="L14" s="184"/>
    </x:row>
  </x:sheetData>
  <x:mergeCells>
    <x:mergeCell ref="A1:L1"/>
    <x:mergeCell ref="A2:L2"/>
    <x:mergeCell ref="A14:G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25" hidden="0" customWidth="1"/>
    <x:col min="4" max="4" width="52" hidden="0" customWidth="1"/>
    <x:col min="5" max="5" width="7" hidden="0" customWidth="1"/>
    <x:col min="6" max="6" width="47" hidden="0" customWidth="1"/>
    <x:col min="7" max="7" width="26" hidden="0" customWidth="1"/>
    <x:col min="8" max="8" width="25" hidden="0" customWidth="1"/>
    <x:col min="9" max="9" width="44" hidden="0" customWidth="1"/>
    <x:col min="10" max="10" width="39" hidden="0" customWidth="1"/>
  </x:cols>
  <x:sheetData>
    <x:row r="1" ht="21.600000381469727" hidden="0" customHeight="1">
      <x:c r="A1" s="145" t="str">
        <x:v>RFQ, verification and design holds</x:v>
      </x:c>
      <x:c r="B1" s="145"/>
      <x:c r="C1" s="145"/>
      <x:c r="D1" s="145"/>
      <x:c r="E1" s="145"/>
      <x:c r="F1" s="145"/>
      <x:c r="G1" s="145"/>
      <x:c r="H1" s="145"/>
      <x:c r="I1" s="145"/>
      <x:c r="J1" s="145"/>
    </x:row>
    <x:row r="2" ht="15" hidden="0" customHeight="1">
      <x:c r="A2" s="146" t="str">
        <x:v>Do not substitute “close” catalog parts. These lines either require an exact supplier certificate/drawing or need the CAD interface closed before money is spent.</x:v>
      </x:c>
      <x:c r="B2" s="146"/>
      <x:c r="C2" s="146"/>
      <x:c r="D2" s="146"/>
      <x:c r="E2" s="146"/>
      <x:c r="F2" s="146"/>
      <x:c r="G2" s="146"/>
      <x:c r="H2" s="146"/>
      <x:c r="I2" s="146"/>
      <x:c r="J2" s="146"/>
    </x:row>
    <x:row r="3" ht="15" hidden="0" customHeight="1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</x:row>
    <x:row r="4" ht="15" hidden="0" customHeight="1">
      <x:c r="A4" s="175" t="str">
        <x:v>State</x:v>
      </x:c>
      <x:c r="B4" s="175" t="str">
        <x:v>Category</x:v>
      </x:c>
      <x:c r="C4" s="175" t="str">
        <x:v>Item</x:v>
      </x:c>
      <x:c r="D4" s="175" t="str">
        <x:v>Exact requirement</x:v>
      </x:c>
      <x:c r="E4" s="175" t="str">
        <x:v>Qty</x:v>
      </x:c>
      <x:c r="F4" s="175" t="str">
        <x:v>Primary action</x:v>
      </x:c>
      <x:c r="G4" s="175" t="str">
        <x:v>Primary supplier / link</x:v>
      </x:c>
      <x:c r="H4" s="175" t="str">
        <x:v>Fallback</x:v>
      </x:c>
      <x:c r="I4" s="175" t="str">
        <x:v>Why it is blocked</x:v>
      </x:c>
      <x:c r="J4" s="175" t="str">
        <x:v>Release evidence</x:v>
      </x:c>
    </x:row>
    <x:row r="5" ht="72" hidden="0" customHeight="1">
      <x:c r="A5" s="183" t="str">
        <x:v>Owned; adapt CAD</x:v>
      </x:c>
      <x:c r="B5" s="176" t="str">
        <x:v>Spring</x:v>
      </x:c>
      <x:c r="C5" s="176" t="str">
        <x:v>Knee compression spring</x:v>
      </x:c>
      <x:c r="D5" s="176" t="str">
        <x:v>Owned: Yellow TF, OD18 / ID9 x 50 mm free. Owner confirmed 5 cm on 2026-09-06. Original 55 mm CAD baseline remains unadapted. Actual rate unverified.</x:v>
      </x:c>
      <x:c r="E5" s="176" t="n">
        <x:v>1</x:v>
      </x:c>
      <x:c r="F5" s="176" t="str">
        <x:v>Keep the owned spring. Adapt seats, installed length and internal stop/bumper in Fusion. No replacement for length is needed.</x:v>
      </x:c>
      <x:c r="G5" s="178" t="str">
        <x:v>Original 55 mm RFQ: American Precision Spring</x:v>
      </x:c>
      <x:c r="H5" s="178" t="str">
        <x:v>Original 55 mm RFQ: APS San Jose</x:v>
      </x:c>
      <x:c r="I5" s="176" t="str">
        <x:v>CAD has diameter 13.4 spigots, 10 washer stack and 13 bumper. These do not fit the owned spring ID9.</x:v>
      </x:c>
      <x:c r="J5" s="176" t="str">
        <x:v>Order screenshot confirms Yellow / 50 mm / OD18 / ID9. Owner confirmed received length on 2026-09-06. CAD adaptation and rate acceptance pending.</x:v>
      </x:c>
    </x:row>
    <x:row r="6" ht="21.600000381469727" hidden="0" customHeight="1">
      <x:c r="A6" s="198" t="str">
        <x:v>ORDERED / VERIFY — NO m6 SUBSTITUTE</x:v>
      </x:c>
      <x:c r="B6" s="176" t="str">
        <x:v>Pins</x:v>
      </x:c>
      <x:c r="C6" s="176" t="str">
        <x:v>Owner-reported eBay candidate Ø10 × 35 knee pins</x:v>
      </x:c>
      <x:c r="D6" s="176" t="str">
        <x:v>10.000/−0.009 mm (ISO h6), 35 mm finished length, hardened and ground</x:v>
      </x:c>
      <x:c r="E6" s="176" t="str">
        <x:v>Believed 3; verify</x:v>
      </x:c>
      <x:c r="F6" s="176" t="str">
        <x:v>Wait for the package (owner estimate: roughly two weeks or later); record the listing/item ID, count the pins, and verify 35 mm length plus 9.991–10.000 mm h6 or acceptable h5 evidence before release.</x:v>
      </x:c>
      <x:c r="G6" s="178" t="str">
        <x:v>eBay — owner order; listing not recorded</x:v>
      </x:c>
      <x:c r="H6" s="178" t="str">
        <x:v>MISUMI PSFU10-35: hardened SUJ2, h5 (a tighter subset of h6). Verify US availability, finished-length tolerance and usable end face before ordering.</x:v>
      </x:c>
      <x:c r="I6" s="176" t="str">
        <x:v>Common DIN 6325 dowels are usually m6 (positive tolerance) and can interfere with a nominal 10 mm bearing bore. A shoulder bolt is too loose for the angular datum.</x:v>
      </x:c>
      <x:c r="J6" s="176" t="str">
        <x:v>Recorded listing/package count and specification, plus h6/h5 evidence and successful hand fit through both 6800 bearings and the vertical Ø10 coupon.</x:v>
      </x:c>
    </x:row>
    <x:row r="7" ht="21.600000381469727" hidden="0" customHeight="1">
      <x:c r="A7" s="183" t="str">
        <x:v>RFQ now</x:v>
      </x:c>
      <x:c r="B7" s="176" t="str">
        <x:v>Pins</x:v>
      </x:c>
      <x:c r="C7" s="176" t="str">
        <x:v>Ø6 h6 × 9 hardened ground dowel</x:v>
      </x:c>
      <x:c r="D7" s="176" t="str">
        <x:v>6.000 mm h6 tolerance, 9 mm length, hardened and ground</x:v>
      </x:c>
      <x:c r="E7" s="176" t="n">
        <x:v>1</x:v>
      </x:c>
      <x:c r="F7" s="176" t="str">
        <x:v>Quote as a custom short dowel.</x:v>
      </x:c>
      <x:c r="G7" s="178" t="str">
        <x:v>Ondrives US</x:v>
      </x:c>
      <x:c r="H7" s="176" t="str">
        <x:v>Local precision grinding shop</x:v>
      </x:c>
      <x:c r="I7" s="176" t="str">
        <x:v>9 mm is not a normal DIN 6325 stock length in the required tolerance.</x:v>
      </x:c>
      <x:c r="J7" s="176" t="str">
        <x:v>Supplier drawing explicitly stating diameter tolerance and length.</x:v>
      </x:c>
    </x:row>
    <x:row r="8" ht="15" hidden="0" customHeight="1">
      <x:c r="A8" s="183" t="str">
        <x:v>RFQ / verify</x:v>
      </x:c>
      <x:c r="B8" s="176" t="str">
        <x:v>Shaft</x:v>
      </x:c>
      <x:c r="C8" s="176" t="str">
        <x:v>Ø5 h6 × 50 hardened ground shaft</x:v>
      </x:c>
      <x:c r="D8" s="176" t="str">
        <x:v>5.000 mm h6 tolerance, 50 mm finished length, hardened and ground</x:v>
      </x:c>
      <x:c r="E8" s="176" t="n">
        <x:v>1</x:v>
      </x:c>
      <x:c r="F8" s="176" t="str">
        <x:v>Ask TR Fastenings for availability/price of the exact DIN 6325 h6 item.</x:v>
      </x:c>
      <x:c r="G8" s="178" t="str">
        <x:v>TR Fastenings</x:v>
      </x:c>
      <x:c r="H8" s="178" t="str">
        <x:v>Custom fallback</x:v>
      </x:c>
      <x:c r="I8" s="176" t="str">
        <x:v>Price/availability is enquiry-only; do not replace with generic 5 mm rod.</x:v>
      </x:c>
      <x:c r="J8" s="176" t="str">
        <x:v>Supplier drawing/certificate and finished 50 mm length.</x:v>
      </x:c>
    </x:row>
    <x:row r="9" ht="21.600000381469727" hidden="0" customHeight="1">
      <x:c r="A9" s="183" t="str">
        <x:v>RFQ now</x:v>
      </x:c>
      <x:c r="B9" s="176" t="str">
        <x:v>Shims</x:v>
      </x:c>
      <x:c r="C9" s="176" t="str">
        <x:v>Ø19 / Ø13.6 × 0.5 shim washers</x:v>
      </x:c>
      <x:c r="D9" s="176" t="str">
        <x:v>OD 19.0 mm, ID 13.6 mm, thickness 0.5 mm</x:v>
      </x:c>
      <x:c r="E9" s="176" t="n">
        <x:v>16</x:v>
      </x:c>
      <x:c r="F9" s="176" t="str">
        <x:v>Upload the project drawing/dimensions for a custom laser/stamped shim quote.</x:v>
      </x:c>
      <x:c r="G9" s="178" t="str">
        <x:v>The Shim Shack</x:v>
      </x:c>
      <x:c r="H9" s="176" t="str">
        <x:v>Local shim/waterjet vendor</x:v>
      </x:c>
      <x:c r="I9" s="176" t="str">
        <x:v>Common DIN 988 stock is 13 × 19, not the required 13.6 mm ID. That is not an approved substitution.</x:v>
      </x:c>
      <x:c r="J9" s="176" t="str">
        <x:v>Supplier drawing with all three dimensions.</x:v>
      </x:c>
    </x:row>
    <x:row r="10" ht="21.600000381469727" hidden="0" customHeight="1">
      <x:c r="A10" s="186" t="str">
        <x:v>DESIGN HOLD</x:v>
      </x:c>
      <x:c r="B10" s="187" t="str">
        <x:v>Pins</x:v>
      </x:c>
      <x:c r="C10" s="187" t="str">
        <x:v>Ø4 × 32 clevis pin retention</x:v>
      </x:c>
      <x:c r="D10" s="187" t="str">
        <x:v>Two Ø4 × 32 shafts are modeled, but the current Fusion bodies have only a Ø4 shaft and Ø7.5 head—no E-clip groove and no cross-hole.</x:v>
      </x:c>
      <x:c r="E10" s="187" t="n">
        <x:v>2</x:v>
      </x:c>
      <x:c r="F10" s="187" t="str">
        <x:v>Close the retention scheme in Fusion, then issue a purchasable pin/ring/cotter specification.</x:v>
      </x:c>
      <x:c r="G10" s="187" t="str">
        <x:v>No purchase link until CAD closure</x:v>
      </x:c>
      <x:c r="H10" s="187" t="str">
        <x:v>—</x:v>
      </x:c>
      <x:c r="I10" s="187" t="str">
        <x:v>The written “DIN 6799-4 E-clip” callout cannot retain the pin geometry currently modeled.</x:v>
      </x:c>
      <x:c r="J10" s="187" t="str">
        <x:v>Fusion model showing groove/cross-hole plus matching catalog hardware.</x:v>
      </x:c>
    </x:row>
    <x:row r="11" ht="104" customHeight="1">
      <x:c r="A11" s="275" t="str">
        <x:v>DESIGN HOLD</x:v>
      </x:c>
      <x:c r="B11" s="276" t="str">
        <x:v>Inserts</x:v>
      </x:c>
      <x:c r="C11" s="276" t="str">
        <x:v>Printed threaded interfaces</x:v>
      </x:c>
      <x:c r="D11" s="276" t="str">
        <x:v>Active: shoulder hub needs 6 M4 insert pockets; wheel hub needs 6 verified metal receiving threads; stand needs 5 Voron-family M3 pockets. Future chassis/carriage interfaces and the optional satellite-PCB M2 boss also require closure.</x:v>
      </x:c>
      <x:c r="E11" s="276" t="str">
        <x:v>3 active parts</x:v>
      </x:c>
      <x:c r="F11" s="276" t="str">
        <x:v>Restore Fusion MCP, correct each receiving interface, inspect geometry, export, and verify before printing.</x:v>
      </x:c>
      <x:c r="G11" s="276" t="str">
        <x:v>Owner M3 inventory + PSM M4×5.8 shoulder candidate</x:v>
      </x:c>
      <x:c r="H11" s="276" t="str">
        <x:v>Do not self-tap printed plastic or force the owned M4×8/10 inserts into thin hubs.</x:v>
      </x:c>
      <x:c r="I11" s="276" t="str">
        <x:v>Current hub and stand holes are legacy/oversize for the intended inserts; the wheel-hub receiving scheme is not closed.</x:v>
      </x:c>
      <x:c r="J11" s="276" t="str">
        <x:v>Fusion inspection showing pocket diameter/depth and wall/floor, plus regenerated STL and coupon/first-article fit.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46" hidden="0" customWidth="1"/>
    <x:col min="5" max="5" width="37" hidden="0" customWidth="1"/>
    <x:col min="6" max="6" width="13" hidden="0" customWidth="1"/>
    <x:col min="7" max="7" width="42" hidden="0" customWidth="1"/>
  </x:cols>
  <x:sheetData>
    <x:row r="1" ht="21.600000381469727" hidden="0" customHeight="1">
      <x:c r="A1" s="145" t="str">
        <x:v>Supplier cart plan</x:v>
      </x:c>
      <x:c r="B1" s="145"/>
      <x:c r="C1" s="145"/>
      <x:c r="D1" s="145"/>
      <x:c r="E1" s="145"/>
      <x:c r="F1" s="145"/>
      <x:c r="G1" s="145"/>
    </x:row>
    <x:row r="2" ht="15" hidden="0" customHeight="1">
      <x:c r="A2" s="146" t="str">
        <x:v>The open subtotal is formula-linked to Order Now and excludes ordered/in-transit and owned lines. Shipping is deliberately not guessed.</x:v>
      </x:c>
      <x:c r="B2" s="146"/>
      <x:c r="C2" s="146"/>
      <x:c r="D2" s="146"/>
      <x:c r="E2" s="146"/>
      <x:c r="F2" s="146"/>
      <x:c r="G2" s="146"/>
    </x:row>
    <x:row r="3" ht="15" hidden="0" customHeight="1">
      <x:c r="A3" s="147"/>
      <x:c r="B3" s="147"/>
      <x:c r="C3" s="147"/>
      <x:c r="D3" s="147"/>
      <x:c r="E3" s="147"/>
      <x:c r="F3" s="147"/>
      <x:c r="G3" s="147"/>
    </x:row>
    <x:row r="4" ht="15" hidden="0" customHeight="1">
      <x:c r="A4" s="175" t="str">
        <x:v>Supplier</x:v>
      </x:c>
      <x:c r="B4" s="175" t="str">
        <x:v>Lines</x:v>
      </x:c>
      <x:c r="C4" s="175" t="str">
        <x:v>Formula-linked subtotal</x:v>
      </x:c>
      <x:c r="D4" s="175" t="str">
        <x:v>Fulfilment / cost tactic</x:v>
      </x:c>
      <x:c r="E4" s="175" t="str">
        <x:v>Shipping risk</x:v>
      </x:c>
      <x:c r="F4" s="175" t="str">
        <x:v>Checkout order</x:v>
      </x:c>
      <x:c r="G4" s="175" t="str">
        <x:v>Action</x:v>
      </x:c>
    </x:row>
    <x:row r="5" ht="21.600000381469727" hidden="0" customHeight="1">
      <x:c r="A5" s="176" t="str">
        <x:v>DigiKey</x:v>
      </x:c>
      <x:c r="B5" s="176" t="str">
        <x:v>CAN Pal ×2; AS5048A kit; 1×8 header — ordered 2026-08-31</x:v>
      </x:c>
      <x:c r="C5" s="177" t="n">
        <x:f>SUMIF('Order Now'!$I$5:$I$25,A5,'Order Now'!$H$5:$H$25)</x:f>
        <x:v>0</x:v>
      </x:c>
      <x:c r="D5" s="176" t="str">
        <x:v>One electronics cart. Check termination resistors on receipt.</x:v>
      </x:c>
      <x:c r="E5" s="176" t="str">
        <x:v>Normal parcel charge may apply below free-shipping threshold.</x:v>
      </x:c>
      <x:c r="F5" s="194" t="str">
        <x:v>DONE</x:v>
      </x:c>
      <x:c r="G5" s="194" t="str">
        <x:v>Receive and verify on Status &amp; Gaps; do not reorder.</x:v>
      </x:c>
    </x:row>
    <x:row r="6" ht="15" hidden="0" customHeight="1">
      <x:c r="A6" s="176" t="str">
        <x:v>B&amp;H Photo</x:v>
      </x:c>
      <x:c r="B6" s="176" t="str">
        <x:v>SanDisk Extreme 32 GB 2-pack</x:v>
      </x:c>
      <x:c r="C6" s="177" t="n">
        <x:f>SUMIF('Order Now'!$I$5:$I$25,A6,'Order Now'!$H$5:$H$25)</x:f>
        <x:v>51.98</x:v>
      </x:c>
      <x:c r="D6" s="176" t="str">
        <x:v>Use the exact U3/V30 2-pack.</x:v>
      </x:c>
      <x:c r="E6" s="176" t="str">
        <x:v>Free standard shipping shown.</x:v>
      </x:c>
      <x:c r="F6" s="176" t="n">
        <x:v>2</x:v>
      </x:c>
      <x:c r="G6" s="176" t="str">
        <x:v>Order now.</x:v>
      </x:c>
    </x:row>
    <x:row r="7" ht="15" hidden="0" customHeight="1">
      <x:c r="A7" s="176" t="str">
        <x:v>Walmart</x:v>
      </x:c>
      <x:c r="B7" s="176" t="str">
        <x:v>SPS305 PSU only; 6800-2RS pair is owned</x:v>
      </x:c>
      <x:c r="C7" s="177" t="n">
        <x:f>SUMIF('Order Now'!$I$5:$I$25,A7,'Order Now'!$H$5:$H$25)</x:f>
        <x:v>38.99</x:v>
      </x:c>
      <x:c r="D7" s="176" t="str">
        <x:v>Put both lines in one cart if marketplace availability permits.</x:v>
      </x:c>
      <x:c r="E7" s="176" t="str">
        <x:v>Free shipping shown on the selected listings.</x:v>
      </x:c>
      <x:c r="F7" s="176" t="n">
        <x:v>3</x:v>
      </x:c>
      <x:c r="G7" s="176" t="str">
        <x:v>Order the PSU if still missing; do not reorder bearings.</x:v>
      </x:c>
    </x:row>
    <x:row r="8" ht="15" hidden="0" customHeight="1">
      <x:c r="A8" s="176" t="str">
        <x:v>Harbor Freight</x:v>
      </x:c>
      <x:c r="B8" s="176" t="str">
        <x:v>Two 6 in. clamps</x:v>
      </x:c>
      <x:c r="C8" s="177" t="n">
        <x:f>SUMIF('Order Now'!$I$5:$I$25,A8,'Order Now'!$H$5:$H$25)</x:f>
        <x:v>13.98</x:v>
      </x:c>
      <x:c r="D8" s="176" t="str">
        <x:v>Reserve online and pick up locally.</x:v>
      </x:c>
      <x:c r="E8" s="176" t="str">
        <x:v>Avoid shipping with Los Altos-area pickup.</x:v>
      </x:c>
      <x:c r="F8" s="176" t="n">
        <x:v>4</x:v>
      </x:c>
      <x:c r="G8" s="176" t="str">
        <x:v>Order now.</x:v>
      </x:c>
    </x:row>
    <x:row r="9" ht="15" hidden="0" customHeight="1">
      <x:c r="A9" s="176" t="str">
        <x:v>Micro Fasteners</x:v>
      </x:c>
      <x:c r="B9" s="176" t="str">
        <x:v>Six socket-cap screw packs</x:v>
      </x:c>
      <x:c r="C9" s="177" t="n">
        <x:f>SUMIF('Order Now'!$I$5:$I$25,A9,'Order Now'!$H$5:$H$25)</x:f>
        <x:v>20.35</x:v>
      </x:c>
      <x:c r="D9" s="176" t="str">
        <x:v>The selected packs total just over the vendor’s $20 minimum.</x:v>
      </x:c>
      <x:c r="E9" s="176" t="str">
        <x:v>One parcel; verify checkout shipping.</x:v>
      </x:c>
      <x:c r="F9" s="176" t="n">
        <x:v>5</x:v>
      </x:c>
      <x:c r="G9" s="176" t="str">
        <x:v>Order now.</x:v>
      </x:c>
    </x:row>
    <x:row r="10" ht="21.600000381469727" hidden="0" customHeight="1">
      <x:c r="A10" s="176" t="str">
        <x:v>Maedler North America</x:v>
      </x:c>
      <x:c r="B10" s="176" t="str">
        <x:v>M3 + M5 washers; three M5 shim thicknesses</x:v>
      </x:c>
      <x:c r="C10" s="177" t="n">
        <x:f>SUMIF('Order Now'!$I$5:$I$25,A10,'Order Now'!$H$5:$H$25)</x:f>
        <x:v>12.100000000000001</x:v>
      </x:c>
      <x:c r="D10" s="176" t="str">
        <x:v>One precision-washer cart. Quantity discounts may lower the displayed list extension.</x:v>
      </x:c>
      <x:c r="E10" s="176" t="str">
        <x:v>Specialist parcel; verify checkout shipping/backorder dates.</x:v>
      </x:c>
      <x:c r="F10" s="176" t="n">
        <x:v>6</x:v>
      </x:c>
      <x:c r="G10" s="176" t="str">
        <x:v>Order now only after all five SKUs show exact dimensions.</x:v>
      </x:c>
    </x:row>
    <x:row r="11" ht="21.600000381469727" hidden="0" customHeight="1">
      <x:c r="A11" s="176" t="str">
        <x:v>Owner stock</x:v>
      </x:c>
      <x:c r="B11" s="176" t="str">
        <x:v>Voron-style M3 inserts — owned; exact AliExpress variant pending</x:v>
      </x:c>
      <x:c r="C11" s="177" t="n">
        <x:f>SUMIF('Order Now'!$I$5:$I$25,A11,'Order Now'!$H$5:$H$25)</x:f>
        <x:v>0</x:v>
      </x:c>
      <x:c r="D11" s="176" t="str">
        <x:v>Count inventory and run the Ø4.0 × 5.0 ABS coupon before installation.</x:v>
      </x:c>
      <x:c r="E11" s="176" t="str">
        <x:v>None — already owned.</x:v>
      </x:c>
      <x:c r="F11" s="176" t="str">
        <x:v>DONE — VERIFY</x:v>
      </x:c>
      <x:c r="G11" s="176" t="str">
        <x:v>Do not order the superseded PartsBuilt packs.</x:v>
      </x:c>
    </x:row>
    <x:row r="12" ht="15" hidden="0" customHeight="1">
      <x:c r="A12" s="176" t="str">
        <x:v>PSM Fasteners</x:v>
      </x:c>
      <x:c r="B12" s="176" t="str">
        <x:v>Six M4×5.8 mm Tech-Sonic inserts</x:v>
      </x:c>
      <x:c r="C12" s="177" t="n">
        <x:f>SUMIF('Order Now'!$I$5:$I$25,A12,'Order Now'!$H$5:$H$25)</x:f>
        <x:v>1.74</x:v>
      </x:c>
      <x:c r="D12" s="176" t="str">
        <x:v>Ask for domestic shipping or distributor referral before checkout.</x:v>
      </x:c>
      <x:c r="E12" s="176" t="str">
        <x:v>High: international/specialist shipping is unpriced.</x:v>
      </x:c>
      <x:c r="F12" s="176" t="n">
        <x:v>8</x:v>
      </x:c>
      <x:c r="G12" s="176" t="str">
        <x:v>Do not replace with 6 or 8.1 mm inserts.</x:v>
      </x:c>
    </x:row>
    <x:row r="13" ht="15" hidden="0" customHeight="1">
      <x:c r="A13" s="176" t="str">
        <x:v>Olander</x:v>
      </x:c>
      <x:c r="B13" s="176" t="str">
        <x:v>Three Ø4×10 hardened dowels</x:v>
      </x:c>
      <x:c r="C13" s="177" t="n">
        <x:f>SUMIF('Order Now'!$I$5:$I$25,A13,'Order Now'!$H$5:$H$25)</x:f>
        <x:v>1.81</x:v>
      </x:c>
      <x:c r="D13" s="176" t="str">
        <x:v>Single exact precision-pin line.</x:v>
      </x:c>
      <x:c r="E13" s="176" t="str">
        <x:v>Shipping may exceed item cost.</x:v>
      </x:c>
      <x:c r="F13" s="176" t="n">
        <x:v>9</x:v>
      </x:c>
      <x:c r="G13" s="176" t="str">
        <x:v>Order, or ask whether the RFQ pins can be bundled.</x:v>
      </x:c>
    </x:row>
    <x:row r="14" ht="15" hidden="0" customHeight="1">
      <x:c r="A14" s="188" t="str">
        <x:v>OPEN LINKED LIST SUBTOTAL</x:v>
      </x:c>
      <x:c r="B14" s="188"/>
      <x:c r="C14" s="189" t="n">
        <x:f>SUM(C5:C13)</x:f>
        <x:v>140.95000000000002</x:v>
      </x:c>
      <x:c r="D14" s="188"/>
      <x:c r="E14" s="188"/>
      <x:c r="F14" s="188"/>
      <x:c r="G14" s="188"/>
    </x:row>
  </x:sheetData>
  <x:mergeCells>
    <x:mergeCell ref="A1:G1"/>
    <x:mergeCell ref="A2:G2"/>
    <x:mergeCell ref="A14:B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34" hidden="0" customWidth="1"/>
    <x:col min="4" max="4" width="26" hidden="0" customWidth="1"/>
    <x:col min="5" max="5" width="42" hidden="0" customWidth="1"/>
    <x:col min="6" max="6" width="45" hidden="0" customWidth="1"/>
  </x:cols>
  <x:sheetData>
    <x:row r="1" ht="21.600000381469727" hidden="0" customHeight="1">
      <x:c r="A1" s="145" t="str">
        <x:v>Owned, supplied and printing inventory</x:v>
      </x:c>
      <x:c r="B1" s="145"/>
      <x:c r="C1" s="145"/>
      <x:c r="D1" s="145"/>
      <x:c r="E1" s="145"/>
      <x:c r="F1" s="145"/>
    </x:row>
    <x:row r="2" ht="15" hidden="0" customHeight="1">
      <x:c r="A2" s="146" t="str">
        <x:v>This sheet prevents duplicate purchasing. “Owned” reflects the repository and delivered-actuator evidence, not assumptions from generic product listings.</x:v>
      </x:c>
      <x:c r="B2" s="146"/>
      <x:c r="C2" s="146"/>
      <x:c r="D2" s="146"/>
      <x:c r="E2" s="146"/>
      <x:c r="F2" s="146"/>
    </x:row>
    <x:row r="3" ht="15" hidden="0" customHeight="1">
      <x:c r="A3" s="147"/>
      <x:c r="B3" s="147"/>
      <x:c r="C3" s="147"/>
      <x:c r="D3" s="147"/>
      <x:c r="E3" s="147"/>
      <x:c r="F3" s="147"/>
    </x:row>
    <x:row r="4" ht="15" hidden="0" customHeight="1">
      <x:c r="A4" s="175" t="str">
        <x:v>State</x:v>
      </x:c>
      <x:c r="B4" s="175" t="str">
        <x:v>Category</x:v>
      </x:c>
      <x:c r="C4" s="175" t="str">
        <x:v>Item</x:v>
      </x:c>
      <x:c r="D4" s="175" t="str">
        <x:v>Quantity / status</x:v>
      </x:c>
      <x:c r="E4" s="175" t="str">
        <x:v>Evidence</x:v>
      </x:c>
      <x:c r="F4" s="175" t="str">
        <x:v>Next check</x:v>
      </x:c>
    </x:row>
    <x:row r="5" ht="15" hidden="0" customHeight="1">
      <x:c r="A5" s="181" t="str">
        <x:v>Owned</x:v>
      </x:c>
      <x:c r="B5" s="176" t="str">
        <x:v>Actuator</x:v>
      </x:c>
      <x:c r="C5" s="176" t="str">
        <x:v>Actuators</x:v>
      </x:c>
      <x:c r="D5" s="176" t="str">
        <x:v>2 delivered</x:v>
      </x:c>
      <x:c r="E5" s="176" t="str">
        <x:v>evidence/actuators/2026-08-20_received/</x:v>
      </x:c>
      <x:c r="F5" s="176" t="str">
        <x:v>Record serial/identity and do not hard-backdrive.</x:v>
      </x:c>
    </x:row>
    <x:row r="6" ht="15" hidden="0" customHeight="1">
      <x:c r="A6" s="181" t="str">
        <x:v>Supplied</x:v>
      </x:c>
      <x:c r="B6" s="176" t="str">
        <x:v>Cabling</x:v>
      </x:c>
      <x:c r="C6" s="176" t="str">
        <x:v>Actuator power and signal breakout leads</x:v>
      </x:c>
      <x:c r="D6" s="176" t="str">
        <x:v>Visible with delivered hardware</x:v>
      </x:c>
      <x:c r="E6" s="176" t="str">
        <x:v>Delivered photos IMG_0573–IMG_0580</x:v>
      </x:c>
      <x:c r="F6" s="176" t="str">
        <x:v>Continuity-map every conductor; photos are not a pinout.</x:v>
      </x:c>
    </x:row>
    <x:row r="7" ht="15" hidden="0" customHeight="1">
      <x:c r="A7" s="181" t="str">
        <x:v>Owned</x:v>
      </x:c>
      <x:c r="B7" s="176" t="str">
        <x:v>Controller</x:v>
      </x:c>
      <x:c r="C7" s="176" t="str">
        <x:v>Teensy 4.1</x:v>
      </x:c>
      <x:c r="D7" s="176" t="str">
        <x:v>1</x:v>
      </x:c>
      <x:c r="E7" s="176" t="str">
        <x:v>electronics/07_bom.md</x:v>
      </x:c>
      <x:c r="F7" s="176" t="str">
        <x:v>Bench-test USB logging before CAN integration.</x:v>
      </x:c>
    </x:row>
    <x:row r="8" ht="15" hidden="0" customHeight="1">
      <x:c r="A8" s="181" t="str">
        <x:v>Owned</x:v>
      </x:c>
      <x:c r="B8" s="176" t="str">
        <x:v>IMU</x:v>
      </x:c>
      <x:c r="C8" s="176" t="str">
        <x:v>BNO085</x:v>
      </x:c>
      <x:c r="D8" s="176" t="str">
        <x:v>1</x:v>
      </x:c>
      <x:c r="E8" s="176" t="str">
        <x:v>electronics/07_bom.md</x:v>
      </x:c>
      <x:c r="F8" s="176" t="str">
        <x:v>Keep as primary IMU candidate.</x:v>
      </x:c>
    </x:row>
    <x:row r="9" ht="15" hidden="0" customHeight="1">
      <x:c r="A9" s="181" t="str">
        <x:v>Owned</x:v>
      </x:c>
      <x:c r="B9" s="176" t="str">
        <x:v>IMU</x:v>
      </x:c>
      <x:c r="C9" s="176" t="str">
        <x:v>MPU6050</x:v>
      </x:c>
      <x:c r="D9" s="176" t="str">
        <x:v>1</x:v>
      </x:c>
      <x:c r="E9" s="176" t="str">
        <x:v>Owner update / project record</x:v>
      </x:c>
      <x:c r="F9" s="176" t="str">
        <x:v>Secondary/bench comparison only unless design changes.</x:v>
      </x:c>
    </x:row>
    <x:row r="10" ht="21.600000381469727" hidden="0" customHeight="1">
      <x:c r="A10" s="181" t="str">
        <x:v>Owned</x:v>
      </x:c>
      <x:c r="B10" s="176" t="str">
        <x:v>Prototype</x:v>
      </x:c>
      <x:c r="C10" s="176" t="str">
        <x:v>Breadboards, hookup wire and solder</x:v>
      </x:c>
      <x:c r="D10" s="176" t="str">
        <x:v>On hand</x:v>
      </x:c>
      <x:c r="E10" s="176" t="str">
        <x:v>electronics/07_bom.md</x:v>
      </x:c>
      <x:c r="F10" s="176" t="str">
        <x:v>Use breadboard only for logic. Verify whether any on-hand wire is true 16–18 AWG motor-current wire.</x:v>
      </x:c>
    </x:row>
    <x:row r="11" ht="15" hidden="0" customHeight="1">
      <x:c r="A11" s="181" t="str">
        <x:v>Owned</x:v>
      </x:c>
      <x:c r="B11" s="176" t="str">
        <x:v>Printer</x:v>
      </x:c>
      <x:c r="C11" s="176" t="str">
        <x:v>Bambu H2S</x:v>
      </x:c>
      <x:c r="D11" s="176" t="str">
        <x:v>1</x:v>
      </x:c>
      <x:c r="E11" s="176" t="str">
        <x:v>Owner update</x:v>
      </x:c>
      <x:c r="F11" s="176" t="str">
        <x:v>Confirm the installed nozzle/hotend and dry-box path before the later two-leg PA-CF build.</x:v>
      </x:c>
    </x:row>
    <x:row r="12" ht="15" hidden="0" customHeight="1">
      <x:c r="A12" s="181" t="str">
        <x:v>Owned</x:v>
      </x:c>
      <x:c r="B12" s="176" t="str">
        <x:v>Material</x:v>
      </x:c>
      <x:c r="C12" s="176" t="str">
        <x:v>Active ABS single-leg integration material</x:v>
      </x:c>
      <x:c r="D12" s="176" t="str">
        <x:v>In use</x:v>
      </x:c>
      <x:c r="E12" s="176" t="str">
        <x:v>Low-load fit, assembly, wiring, controls integration, and wheel-clear/current-limited slow motor commands under self-weight only</x:v>
      </x:c>
      <x:c r="F12" s="176" t="str">
        <x:v>Do not use ABS for torque-arm, main-spring preload/characterization, ground-traction, stall/proof, drop, or human-adjacent tests.</x:v>
      </x:c>
    </x:row>
    <x:row r="13" ht="15" hidden="0" customHeight="1">
      <x:c r="A13" s="181" t="str">
        <x:v>Printed</x:v>
      </x:c>
      <x:c r="B13" s="176" t="str">
        <x:v>Calibration</x:v>
      </x:c>
      <x:c r="C13" s="176" t="str">
        <x:v>ABS fit coupons</x:v>
      </x:c>
      <x:c r="D13" s="176" t="str">
        <x:v>4 completed</x:v>
      </x:c>
      <x:c r="E13" s="176" t="str">
        <x:v>Current README / prior build step</x:v>
      </x:c>
      <x:c r="F13" s="176" t="str">
        <x:v>Use coupon results to select exact hardware; calipers are not a blocker.</x:v>
      </x:c>
    </x:row>
    <x:row r="14" ht="21.600000381469727" hidden="0" customHeight="1">
      <x:c r="A14" s="182" t="str">
        <x:v>Printing</x:v>
      </x:c>
      <x:c r="B14" s="176" t="str">
        <x:v>Mode A rig</x:v>
      </x:c>
      <x:c r="C14" s="176" t="str">
        <x:v>ABS first-article proximal link printed; complete the remaining single-leg fit and integration work</x:v>
      </x:c>
      <x:c r="D14" s="176" t="str">
        <x:v>In progress</x:v>
      </x:c>
      <x:c r="E14" s="176" t="str">
        <x:v>Single-leg geometry and unloaded controls integration only</x:v>
      </x:c>
      <x:c r="F14" s="176" t="str">
        <x:v>The current Ø19.10 proximal link is retained. Do not apply structural or spring loads to the ABS assembly.</x:v>
      </x:c>
    </x:row>
    <x:row r="15" ht="32.400001525878906" hidden="0" customHeight="1">
      <x:c r="A15" s="205" t="str">
        <x:v>Owned</x:v>
      </x:c>
      <x:c r="B15" s="206" t="str">
        <x:v>Bearings</x:v>
      </x:c>
      <x:c r="C15" s="206" t="str">
        <x:v>6800-2RS bearings</x:v>
      </x:c>
      <x:c r="D15" s="206" t="str">
        <x:v>2 delivered</x:v>
      </x:c>
      <x:c r="E15" s="206" t="str">
        <x:v>README.md / owner update</x:v>
      </x:c>
      <x:c r="F15" s="206" t="str">
        <x:v>Full-depth Ø19.10 ABS link accepts both bearings but is slightly tight; use Ø19.15 for future ABS proximal-link prints.</x:v>
      </x:c>
    </x:row>
    <x:row r="16" ht="60" customHeight="1">
      <x:c r="A16" s="274" t="str">
        <x:v>Owned — verify</x:v>
      </x:c>
      <x:c r="B16" s="274" t="str">
        <x:v>Inserts</x:v>
      </x:c>
      <x:c r="C16" s="274" t="str">
        <x:v>Voron-style M3 heat-set inserts</x:v>
      </x:c>
      <x:c r="D16" s="274" t="str">
        <x:v>On hand; count pending</x:v>
      </x:c>
      <x:c r="E16" s="274" t="str">
        <x:v>Owner-reported AliExpress purchase; exact order URL/variant not accessible</x:v>
      </x:c>
      <x:c r="F16" s="274" t="str">
        <x:v>Fit the exact insert in the Ø4.0 × 5.0 ABS coupon; reserve 14 for the active build.</x:v>
      </x:c>
    </x:row>
    <x:row r="17" ht="60" customHeight="1">
      <x:c r="A17" s="274" t="str">
        <x:v>Owned</x:v>
      </x:c>
      <x:c r="B17" s="274" t="str">
        <x:v>Inserts</x:v>
      </x:c>
      <x:c r="C17" s="274" t="str">
        <x:v>M3 brass insert assortment</x:v>
      </x:c>
      <x:c r="D17" s="274" t="str">
        <x:v>400 pcs labeled</x:v>
      </x:c>
      <x:c r="E17" s="274" t="str">
        <x:v>evidence/inserts/2026-09-02_received/m3_assortment_400pc.jpg</x:v>
      </x:c>
      <x:c r="F17" s="274" t="str">
        <x:v>Label dimensions identify families but do not define a CAD receiving bore; coupon-test before use.</x:v>
      </x:c>
    </x:row>
    <x:row r="18" ht="60" customHeight="1">
      <x:c r="A18" s="274" t="str">
        <x:v>Owned</x:v>
      </x:c>
      <x:c r="B18" s="274" t="str">
        <x:v>Inserts</x:v>
      </x:c>
      <x:c r="C18" s="274" t="str">
        <x:v>M2/M3/M4/M5 threaded insert assortment</x:v>
      </x:c>
      <x:c r="D18" s="274" t="str">
        <x:v>520 pcs labeled</x:v>
      </x:c>
      <x:c r="E18" s="274" t="str">
        <x:v>evidence/inserts/2026-09-02_received/m2_m3_m4_m5_assortment_520pc.jpg</x:v>
      </x:c>
      <x:c r="F18" s="274" t="str">
        <x:v>M4 stock is 8/10 mm long and is not an approved substitute for the thin shoulder or wheel hub.</x:v>
      </x:c>
    </x:row>
    <x:row r="19" ht="60" customHeight="1">
      <x:c r="A19" s="274" t="str">
        <x:v>Owned — verify</x:v>
      </x:c>
      <x:c r="B19" s="274" t="str">
        <x:v>Inserts</x:v>
      </x:c>
      <x:c r="C19" s="274" t="str">
        <x:v>Voron-style M3 heat-set inserts</x:v>
      </x:c>
      <x:c r="D19" s="274" t="str">
        <x:v>On hand; count pending</x:v>
      </x:c>
      <x:c r="E19" s="274" t="str">
        <x:v>Owner-reported AliExpress purchase; exact order URL/variant not accessible</x:v>
      </x:c>
      <x:c r="F19" s="274" t="str">
        <x:v>Fit the exact insert in the Ø4.0 × 5.0 ABS coupon; reserve 14 for the active build.</x:v>
      </x:c>
    </x:row>
    <x:row r="20" ht="72" customHeight="1">
      <x:c r="A20" s="288" t="str">
        <x:v>Owned</x:v>
      </x:c>
      <x:c r="B20" s="288" t="str">
        <x:v>Spring</x:v>
      </x:c>
      <x:c r="C20" s="288" t="str">
        <x:v>Yellow TF, OD18 / ID9 x 50 mm free</x:v>
      </x:c>
      <x:c r="D20" s="289" t="n">
        <x:v>1</x:v>
      </x:c>
      <x:c r="E20" s="288" t="str">
        <x:v>https://github.com/TnnsBeast/Biped/tree/main/evidence/springs/2026-09-05_reconciliation</x:v>
      </x:c>
      <x:c r="F20" s="288" t="str">
        <x:v>Owner confirms 5 cm. Keep this spring. Cartridge adaptation and measured rate remain open.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56" hidden="0" customWidth="1"/>
    <x:col min="4" max="4" width="13" hidden="0" customWidth="1"/>
    <x:col min="5" max="5" width="62" hidden="0" customWidth="1"/>
    <x:col min="6" max="6" width="42" hidden="0" customWidth="1"/>
  </x:cols>
  <x:sheetData>
    <x:row r="1" ht="21.600000381469727" hidden="0" customHeight="1">
      <x:c r="A1" s="145" t="str">
        <x:v>Traceability and source register</x:v>
      </x:c>
      <x:c r="B1" s="145"/>
      <x:c r="C1" s="145"/>
      <x:c r="D1" s="145"/>
      <x:c r="E1" s="145"/>
      <x:c r="F1" s="145"/>
    </x:row>
    <x:row r="2" ht="15" hidden="0" customHeight="1">
      <x:c r="A2" s="146" t="str">
        <x:v>Every order line is grounded either in the current project records, a Fusion MCP inspection, or a supplier/manufacturer page checked on the date shown.</x:v>
      </x:c>
      <x:c r="B2" s="146"/>
      <x:c r="C2" s="146"/>
      <x:c r="D2" s="146"/>
      <x:c r="E2" s="146"/>
      <x:c r="F2" s="146"/>
    </x:row>
    <x:row r="3" ht="15" hidden="0" customHeight="1">
      <x:c r="A3" s="147"/>
      <x:c r="B3" s="147"/>
      <x:c r="C3" s="147"/>
      <x:c r="D3" s="147"/>
      <x:c r="E3" s="147"/>
      <x:c r="F3" s="147"/>
    </x:row>
    <x:row r="4" ht="15" hidden="0" customHeight="1">
      <x:c r="A4" s="175" t="str">
        <x:v>Type</x:v>
      </x:c>
      <x:c r="B4" s="175" t="str">
        <x:v>Source</x:v>
      </x:c>
      <x:c r="C4" s="175" t="str">
        <x:v>What it establishes</x:v>
      </x:c>
      <x:c r="D4" s="175" t="str">
        <x:v>Checked</x:v>
      </x:c>
      <x:c r="E4" s="175" t="str">
        <x:v>URL / path</x:v>
      </x:c>
      <x:c r="F4" s="175" t="str">
        <x:v>Caveat</x:v>
      </x:c>
    </x:row>
    <x:row r="5" ht="15" hidden="0" customHeight="1">
      <x:c r="A5" s="176" t="str">
        <x:v>Project</x:v>
      </x:c>
      <x:c r="B5" s="176" t="str">
        <x:v>README.md</x:v>
      </x:c>
      <x:c r="C5" s="176" t="str">
        <x:v>Current build state and first-article campaign</x:v>
      </x:c>
      <x:c r="D5" s="191" t="n">
        <x:v>46255</x:v>
      </x:c>
      <x:c r="E5" s="176" t="str">
        <x:v>/Users/neilchulani/Robots/Biped/README.md</x:v>
      </x:c>
      <x:c r="F5" s="176" t="str">
        <x:v>Repository state is canonical for what has already been done.</x:v>
      </x:c>
    </x:row>
    <x:row r="6" ht="15" hidden="0" customHeight="1">
      <x:c r="A6" s="176" t="str">
        <x:v>Project</x:v>
      </x:c>
      <x:c r="B6" s="176" t="str">
        <x:v>CLAUDE.md</x:v>
      </x:c>
      <x:c r="C6" s="176" t="str">
        <x:v>Fusion-only workflow and ABS-first owner directives</x:v>
      </x:c>
      <x:c r="D6" s="191" t="n">
        <x:v>46255</x:v>
      </x:c>
      <x:c r="E6" s="176" t="str">
        <x:v>/Users/neilchulani/Robots/Biped/CLAUDE.md</x:v>
      </x:c>
      <x:c r="F6" s="176" t="str">
        <x:v>Hard rules 6 and 7.</x:v>
      </x:c>
    </x:row>
    <x:row r="7" ht="21.600000381469727" hidden="0" customHeight="1">
      <x:c r="A7" s="176" t="str">
        <x:v>Project</x:v>
      </x:c>
      <x:c r="B7" s="176" t="str">
        <x:v>electronics/07_bom.md</x:v>
      </x:c>
      <x:c r="C7" s="176" t="str">
        <x:v>Wave-0 electronics, owned parts and instrumentation</x:v>
      </x:c>
      <x:c r="D7" s="191" t="n">
        <x:v>46255</x:v>
      </x:c>
      <x:c r="E7" s="176" t="str">
        <x:v>/Users/neilchulani/Robots/Biped/electronics/07_bom.md</x:v>
      </x:c>
      <x:c r="F7" s="176" t="str">
        <x:v>Contains an XT30 loop-key line that conflicts with the bench-PSU carve-out.</x:v>
      </x:c>
    </x:row>
    <x:row r="8" ht="21.600000381469727" hidden="0" customHeight="1">
      <x:c r="A8" s="176" t="str">
        <x:v>Project</x:v>
      </x:c>
      <x:c r="B8" s="176" t="str">
        <x:v>electronics/01_power_and_battery.md</x:v>
      </x:c>
      <x:c r="C8" s="176" t="str">
        <x:v>Bench PSU architecture: no pack/BMS/precharge/loop-key stage</x:v>
      </x:c>
      <x:c r="D8" s="191" t="n">
        <x:v>46255</x:v>
      </x:c>
      <x:c r="E8" s="176" t="str">
        <x:v>/Users/neilchulani/Robots/Biped/electronics/01_power_and_battery.md</x:v>
      </x:c>
      <x:c r="F8" s="176" t="str">
        <x:v>XT30 retained only as a recommended one-motion harness disconnect.</x:v>
      </x:c>
    </x:row>
    <x:row r="9" ht="15" hidden="0" customHeight="1">
      <x:c r="A9" s="176" t="str">
        <x:v>Project</x:v>
      </x:c>
      <x:c r="B9" s="176" t="str">
        <x:v>beni_single_leg_rig_design_record.md §9</x:v>
      </x:c>
      <x:c r="C9" s="176" t="str">
        <x:v>Mode A hardware, spring, pin, shim and deferred Mode B BOM</x:v>
      </x:c>
      <x:c r="D9" s="191" t="n">
        <x:v>46255</x:v>
      </x:c>
      <x:c r="E9" s="176" t="str">
        <x:v>/Users/neilchulani/Robots/Biped/beni_single_leg_rig_design_record.md</x:v>
      </x:c>
      <x:c r="F9" s="176" t="str">
        <x:v>Exact values are not rounded or silently substituted.</x:v>
      </x:c>
    </x:row>
    <x:row r="10" ht="15" hidden="0" customHeight="1">
      <x:c r="A10" s="176" t="str">
        <x:v>Evidence</x:v>
      </x:c>
      <x:c r="B10" s="176" t="str">
        <x:v>Delivered actuator photo index</x:v>
      </x:c>
      <x:c r="C10" s="176" t="str">
        <x:v>Two actuators and supplied breakout leads are physically present</x:v>
      </x:c>
      <x:c r="D10" s="191" t="n">
        <x:v>46255</x:v>
      </x:c>
      <x:c r="E10" s="176" t="str">
        <x:v>/Users/neilchulani/Robots/Biped/evidence/actuators/2026-08-20_received/README.md</x:v>
      </x:c>
      <x:c r="F10" s="176" t="str">
        <x:v>Photos do not establish conductor pinout.</x:v>
      </x:c>
    </x:row>
    <x:row r="11" ht="15" hidden="0" customHeight="1">
      <x:c r="A11" s="176" t="str">
        <x:v>Fusion MCP</x:v>
      </x:c>
      <x:c r="B11" s="176" t="str">
        <x:v>Beni_SingleLegRig read-only geometry check</x:v>
      </x:c>
      <x:c r="C11" s="176" t="str">
        <x:v>HW_ClevisPin_D4x32 has a Ø4 shaft and head but no retention groove/cross-hole</x:v>
      </x:c>
      <x:c r="D11" s="191" t="n">
        <x:v>46255</x:v>
      </x:c>
      <x:c r="E11" s="176" t="str">
        <x:v>Fusion MCP inspection of active design</x:v>
      </x:c>
      <x:c r="F11" s="176" t="str">
        <x:v>No Fusion file was modified.</x:v>
      </x:c>
    </x:row>
    <x:row r="12" ht="15" hidden="0" customHeight="1">
      <x:c r="A12" s="176" t="str">
        <x:v>Manufacturer</x:v>
      </x:c>
      <x:c r="B12" s="176" t="str">
        <x:v>ams AS5048A adapter feature/manual</x:v>
      </x:c>
      <x:c r="C12" s="176" t="str">
        <x:v>Adapter kit includes AS5000-MD6H-2 magnet; P1 needs a 1×8 header</x:v>
      </x:c>
      <x:c r="D12" s="191" t="n">
        <x:v>46255</x:v>
      </x:c>
      <x:c r="E12" s="176" t="str">
        <x:v>https://www.mouser.com/new/ams-osram/ams-as5048-adapterboard</x:v>
      </x:c>
      <x:c r="F12" s="176" t="str">
        <x:v>Verify magnet in the received bag.</x:v>
      </x:c>
    </x:row>
    <x:row r="13" ht="15" hidden="0" customHeight="1">
      <x:c r="A13" s="176" t="str">
        <x:v>Current stock</x:v>
      </x:c>
      <x:c r="B13" s="176" t="str">
        <x:v>DigiKey CAN Pal / AS5048A / header</x:v>
      </x:c>
      <x:c r="C13" s="176" t="str">
        <x:v>Price, stock and part numbers</x:v>
      </x:c>
      <x:c r="D13" s="191" t="n">
        <x:v>46255</x:v>
      </x:c>
      <x:c r="E13" s="176" t="str">
        <x:v>https://www.digikey.com/</x:v>
      </x:c>
      <x:c r="F13" s="176" t="str">
        <x:v>Stock and prices can change.</x:v>
      </x:c>
    </x:row>
    <x:row r="14" ht="21.600000381469727" hidden="0" customHeight="1">
      <x:c r="A14" s="176" t="str">
        <x:v>Current issue</x:v>
      </x:c>
      <x:c r="B14" s="176" t="str">
        <x:v>Adafruit forum CAN Pal resistor report</x:v>
      </x:c>
      <x:c r="C14" s="176" t="str">
        <x:v>Some older/direct boards had wrong 60 kΩ resistors; recent DigiKey/current stock reports were corrected</x:v>
      </x:c>
      <x:c r="D14" s="191" t="n">
        <x:v>46255</x:v>
      </x:c>
      <x:c r="E14" s="176" t="str">
        <x:v>https://forums.adafruit.com/viewtopic.php?p=1092343</x:v>
      </x:c>
      <x:c r="F14" s="176" t="str">
        <x:v>Receipt resistance test remains mandatory.</x:v>
      </x:c>
    </x:row>
    <x:row r="15" ht="21.600000381469727" hidden="0" customHeight="1">
      <x:c r="A15" s="176" t="str">
        <x:v>Supplier</x:v>
      </x:c>
      <x:c r="B15" s="176" t="str">
        <x:v>B&amp;H SanDisk 2-pack</x:v>
      </x:c>
      <x:c r="C15" s="176" t="str">
        <x:v>Exact card class, $51.98 price and free standard shipping</x:v>
      </x:c>
      <x:c r="D15" s="191" t="n">
        <x:v>46255</x:v>
      </x:c>
      <x:c r="E15" s="176" t="str">
        <x:v>https://www.bhphotovideo.com/c/product/1970638-REG/sandisk_32gb_extreme_uhs_i_microsdhc.html/specs</x:v>
      </x:c>
      <x:c r="F15" s="176" t="str">
        <x:v>Do not downgrade to U1.</x:v>
      </x:c>
    </x:row>
    <x:row r="16" ht="15" hidden="0" customHeight="1">
      <x:c r="A16" s="176" t="str">
        <x:v>Supplier</x:v>
      </x:c>
      <x:c r="B16" s="176" t="str">
        <x:v>Maedler washers and DIN 988 shim rings</x:v>
      </x:c>
      <x:c r="C16" s="176" t="str">
        <x:v>Exact dimensions and list prices</x:v>
      </x:c>
      <x:c r="D16" s="191" t="n">
        <x:v>46255</x:v>
      </x:c>
      <x:c r="E16" s="176" t="str">
        <x:v>https://maedlernorthamerica.com/</x:v>
      </x:c>
      <x:c r="F16" s="176" t="str">
        <x:v>Checkout discounts/shipping not included.</x:v>
      </x:c>
    </x:row>
    <x:row r="17" ht="15" hidden="0" customHeight="1">
      <x:c r="A17" s="176" t="str">
        <x:v>Supplier</x:v>
      </x:c>
      <x:c r="B17" s="176" t="str">
        <x:v>Micro Fasteners</x:v>
      </x:c>
      <x:c r="C17" s="176" t="str">
        <x:v>Exact screw pack sizes/prices and $20 minimum</x:v>
      </x:c>
      <x:c r="D17" s="191" t="n">
        <x:v>46255</x:v>
      </x:c>
      <x:c r="E17" s="176" t="str">
        <x:v>https://www.microfasteners.com/</x:v>
      </x:c>
      <x:c r="F17" s="176" t="str">
        <x:v>Selected six packs total $20.35.</x:v>
      </x:c>
    </x:row>
    <x:row r="18" ht="15" hidden="0" customHeight="1">
      <x:c r="A18" s="176" t="str">
        <x:v>Supplier</x:v>
      </x:c>
      <x:c r="B18" s="176" t="str">
        <x:v>Local spring shops</x:v>
      </x:c>
      <x:c r="C18" s="176" t="str">
        <x:v>Original 55 mm spring RFQ paths (deferred)</x:v>
      </x:c>
      <x:c r="D18" s="191" t="n">
        <x:v>46255</x:v>
      </x:c>
      <x:c r="E18" s="176" t="str">
        <x:v>https://americanprecspring.com/</x:v>
      </x:c>
      <x:c r="F18" s="176" t="str">
        <x:v>Price remains TBD until drawing/spec review.</x:v>
      </x:c>
    </x:row>
    <x:row r="19">
      <x:c r="A19" s="213" t="str">
        <x:v>Current supplier</x:v>
      </x:c>
      <x:c r="B19" s="211" t="str">
        <x:v>WDS 662-20635</x:v>
      </x:c>
      <x:c r="C19" s="211" t="str">
        <x:v>Catalog 10 × 35 mm hardened/ground pin and current single-unit list price; diameter tolerance is not published</x:v>
      </x:c>
      <x:c r="D19" s="212" t="str">
        <x:v>2026-08-31</x:v>
      </x:c>
      <x:c r="E19" s="211" t="str">
        <x:v>https://www.wdscomponents.com/en-us/10mm-x-35mm-steel-precision-dowel-pin</x:v>
      </x:c>
      <x:c r="F19" s="211" t="str">
        <x:v>Do not order until WDS confirms h6 in writing.</x:v>
      </x:c>
    </x:row>
    <x:row r="20">
      <x:c r="A20" s="213" t="str">
        <x:v>Manufacturer</x:v>
      </x:c>
      <x:c r="B20" s="211" t="str">
        <x:v>MISUMI straight linear shafts</x:v>
      </x:c>
      <x:c r="C20" s="211" t="str">
        <x:v>PSFU series uses hardened SUJ2 and h5 diameter tolerance; D10 permits a configured 35 mm length</x:v>
      </x:c>
      <x:c r="D20" s="212" t="str">
        <x:v>2026-08-31</x:v>
      </x:c>
      <x:c r="E20" s="211" t="str">
        <x:v>https://us.misumi-ec.com/vona2/detail/110302634310/</x:v>
      </x:c>
      <x:c r="F20" s="211" t="str">
        <x:v>h5 is dimensionally compatible as a tighter subset of h6; verify US checkout and end/length finish.</x:v>
      </x:c>
    </x:row>
    <x:row r="21">
      <x:c r="A21" s="213" t="str">
        <x:v>Engineering reference</x:v>
      </x:c>
      <x:c r="B21" s="211" t="str">
        <x:v>WDS ISO shaft tolerance table</x:v>
      </x:c>
      <x:c r="C21" s="211" t="str">
        <x:v>At nominal 10 mm: h6 is 9.991–10.000 mm while m6 is above nominal</x:v>
      </x:c>
      <x:c r="D21" s="212" t="str">
        <x:v>2026-08-31</x:v>
      </x:c>
      <x:c r="E21" s="211" t="str">
        <x:v>https://www.wdscomponents.com/en-gb/tolerances-for-holes-and-shafts</x:v>
      </x:c>
      <x:c r="F21" s="211" t="str">
        <x:v>This is why a generic DIN 6325 m6 dowel is not an acceptable silent substitute.</x:v>
      </x:c>
    </x:row>
    <x:row r="22">
      <x:c r="A22" s="213" t="str">
        <x:v>Current stock</x:v>
      </x:c>
      <x:c r="B22" s="211" t="str">
        <x:v>DigiKey WAGO 221-413</x:v>
      </x:c>
      <x:c r="C22" s="211" t="str">
        <x:v>Three-conductor lever connector, DigiKey 2946-221-413-ND</x:v>
      </x:c>
      <x:c r="D22" s="212" t="str">
        <x:v>2026-08-31</x:v>
      </x:c>
      <x:c r="E22" s="211" t="str">
        <x:v>https://www.digikey.com/en/products/detail/wago-corporation/221-413/13549610</x:v>
      </x:c>
      <x:c r="F22" s="211" t="str">
        <x:v>Ordered 2026-08-31; actual checkout total was not provided.</x:v>
      </x:c>
    </x:row>
    <x:row r="23" ht="58" customHeight="1">
      <x:c r="A23" s="283" t="str">
        <x:v>Evidence</x:v>
      </x:c>
      <x:c r="B23" s="283" t="str">
        <x:v>Received threaded-insert inventory</x:v>
      </x:c>
      <x:c r="C23" s="283" t="str">
        <x:v>Owner has separate Voron-style M3 inserts plus labeled 400-piece M3 and 520-piece M2/M3/M4/M5 assortments</x:v>
      </x:c>
      <x:c r="D23" s="283" t="str">
        <x:v>2026-09-02</x:v>
      </x:c>
      <x:c r="E23" s="283" t="str">
        <x:v>/Users/neilchulani/Robots/Biped/evidence/inserts/2026-09-02_received/README.md</x:v>
      </x:c>
      <x:c r="F23" s="283" t="str">
        <x:v>The exact AliExpress Voron listing/variant was not accessible; package labels alone do not define receiving-hole geometry.</x:v>
      </x:c>
    </x:row>
    <x:row r="24" ht="58" customHeight="1">
      <x:c r="A24" s="283" t="str">
        <x:v>Project</x:v>
      </x:c>
      <x:c r="B24" s="283" t="str">
        <x:v>Manufacturing constraints — threaded interfaces</x:v>
      </x:c>
      <x:c r="C24" s="283" t="str">
        <x:v>Canonical active/future heat-set map, quantities, approved exceptions and design holds</x:v>
      </x:c>
      <x:c r="D24" s="283" t="str">
        <x:v>2026-09-02</x:v>
      </x:c>
      <x:c r="E24" s="283" t="str">
        <x:v>/Users/neilchulani/Robots/Biped/MANUFACTURING_CONSTRAINTS.md</x:v>
      </x:c>
      <x:c r="F24" s="283" t="str">
        <x:v>Corrected CAD/STLs remain unreleased until Fusion MCP verification.</x:v>
      </x:c>
    </x:row>
    <x:row r="25" ht="58" customHeight="1">
      <x:c r="A25" s="283" t="str">
        <x:v>Manufacturer</x:v>
      </x:c>
      <x:c r="B25" s="283" t="str">
        <x:v>PSM Tech-Sonic insert catalog</x:v>
      </x:c>
      <x:c r="C25" s="283" t="str">
        <x:v>M3 and M4 insert envelope, recommended receiving-hole diameters, lengths and minimum wall guidance</x:v>
      </x:c>
      <x:c r="D25" s="283" t="str">
        <x:v>2026-09-02</x:v>
      </x:c>
      <x:c r="E25" s="283" t="str">
        <x:v>https://psmcelada.it/?dl=5346</x:v>
      </x:c>
      <x:c r="F25" s="283" t="str">
        <x:v>M4×5.8 is a shoulder-hub candidate; the wheel-hub interface still requires Fusion closure.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26" hidden="0" customWidth="1"/>
    <x:col min="4" max="4" width="90" hidden="0" customWidth="1"/>
    <x:col min="5" max="5" width="26" hidden="0" customWidth="1"/>
  </x:cols>
  <x:sheetData>
    <x:row r="1" ht="21.600000381469727" hidden="0" customHeight="1">
      <x:c r="A1" s="145" t="str">
        <x:v>Order and RFQ links</x:v>
      </x:c>
      <x:c r="B1" s="145"/>
      <x:c r="C1" s="145"/>
      <x:c r="D1" s="145"/>
      <x:c r="E1" s="145"/>
    </x:row>
    <x:row r="2" ht="15" hidden="0" customHeight="1">
      <x:c r="A2" s="146" t="str">
        <x:v>Full vendor URLs are stored as plain text for compatibility with Excel, Numbers and workbook renderers. Most spreadsheet apps auto-detect them; otherwise copy the address into a browser.</x:v>
      </x:c>
      <x:c r="B2" s="146"/>
      <x:c r="C2" s="146"/>
      <x:c r="D2" s="146"/>
      <x:c r="E2" s="146"/>
    </x:row>
    <x:row r="3" ht="15" hidden="0" customHeight="1">
      <x:c r="A3" s="147"/>
      <x:c r="B3" s="147"/>
      <x:c r="C3" s="147"/>
      <x:c r="D3" s="147"/>
      <x:c r="E3" s="147"/>
    </x:row>
    <x:row r="4" ht="15" hidden="0" customHeight="1">
      <x:c r="A4" s="175" t="str">
        <x:v>Sheet / phase</x:v>
      </x:c>
      <x:c r="B4" s="175" t="str">
        <x:v>Item</x:v>
      </x:c>
      <x:c r="C4" s="175" t="str">
        <x:v>Supplier</x:v>
      </x:c>
      <x:c r="D4" s="175" t="str">
        <x:v>Full URL</x:v>
      </x:c>
      <x:c r="E4" s="175" t="str">
        <x:v>Reference / note</x:v>
      </x:c>
    </x:row>
    <x:row r="5" ht="15" hidden="0" customHeight="1">
      <x:c r="A5" s="176" t="str">
        <x:v>Order Now</x:v>
      </x:c>
      <x:c r="B5" s="176" t="str">
        <x:v>CAN Pal transceiver</x:v>
      </x:c>
      <x:c r="C5" s="176" t="str">
        <x:v>DigiKey</x:v>
      </x:c>
      <x:c r="D5" s="192" t="str">
        <x:v>https://www.digikey.com/en/products/detail/adafruit-industries-llc/5708/18716420</x:v>
      </x:c>
      <x:c r="E5" s="176" t="str">
        <x:v>Order Now row 5</x:v>
      </x:c>
    </x:row>
    <x:row r="6" ht="15" hidden="0" customHeight="1">
      <x:c r="A6" s="176" t="str">
        <x:v>Order Now</x:v>
      </x:c>
      <x:c r="B6" s="176" t="str">
        <x:v>AS5048A SPI adapter kit</x:v>
      </x:c>
      <x:c r="C6" s="176" t="str">
        <x:v>DigiKey</x:v>
      </x:c>
      <x:c r="D6" s="192" t="str">
        <x:v>https://www.digikey.com/en/products/detail/ams-osram-usa-inc/AS5048A-ADAPTERBOARD/3188612</x:v>
      </x:c>
      <x:c r="E6" s="176" t="str">
        <x:v>Order Now row 6</x:v>
      </x:c>
    </x:row>
    <x:row r="7" ht="15" hidden="0" customHeight="1">
      <x:c r="A7" s="176" t="str">
        <x:v>Order Now</x:v>
      </x:c>
      <x:c r="B7" s="176" t="str">
        <x:v>1×8 male header</x:v>
      </x:c>
      <x:c r="C7" s="176" t="str">
        <x:v>DigiKey</x:v>
      </x:c>
      <x:c r="D7" s="192" t="str">
        <x:v>https://www.digikey.com/en/products/detail/amphenol-cs-fci/78511-108HLF/5201432</x:v>
      </x:c>
      <x:c r="E7" s="176" t="str">
        <x:v>Order Now row 7</x:v>
      </x:c>
    </x:row>
    <x:row r="8" ht="15" hidden="0" customHeight="1">
      <x:c r="A8" s="176" t="str">
        <x:v>Order Now</x:v>
      </x:c>
      <x:c r="B8" s="176" t="str">
        <x:v>Current-limited bench PSU</x:v>
      </x:c>
      <x:c r="C8" s="176" t="str">
        <x:v>Walmart</x:v>
      </x:c>
      <x:c r="D8" s="192" t="str">
        <x:v>https://www.walmart.com/ip/18978660773</x:v>
      </x:c>
      <x:c r="E8" s="176" t="str">
        <x:v>Order Now row 8</x:v>
      </x:c>
    </x:row>
    <x:row r="9" ht="15" hidden="0" customHeight="1">
      <x:c r="A9" s="176" t="str">
        <x:v>Order Now</x:v>
      </x:c>
      <x:c r="B9" s="176" t="str">
        <x:v>32 GB SanDisk Extreme microSDHC</x:v>
      </x:c>
      <x:c r="C9" s="176" t="str">
        <x:v>B&amp;H Photo</x:v>
      </x:c>
      <x:c r="D9" s="192" t="str">
        <x:v>https://www.bhphotovideo.com/c/product/1970638-REG/sandisk_32gb_extreme_uhs_i_microsdhc.html/specs</x:v>
      </x:c>
      <x:c r="E9" s="176" t="str">
        <x:v>Order Now row 9</x:v>
      </x:c>
    </x:row>
    <x:row r="10" ht="15" hidden="0" customHeight="1">
      <x:c r="A10" s="176" t="str">
        <x:v>Order Now</x:v>
      </x:c>
      <x:c r="B10" s="176" t="str">
        <x:v>6 in. C-clamp</x:v>
      </x:c>
      <x:c r="C10" s="176" t="str">
        <x:v>Harbor Freight</x:v>
      </x:c>
      <x:c r="D10" s="192" t="str">
        <x:v>https://www.harborfreight.com/6-inch-industrial-c-clamp-37850.html</x:v>
      </x:c>
      <x:c r="E10" s="176" t="str">
        <x:v>Order Now row 10</x:v>
      </x:c>
    </x:row>
    <x:row r="11" ht="15" hidden="0" customHeight="1">
      <x:c r="A11" s="176" t="str">
        <x:v>Order Now</x:v>
      </x:c>
      <x:c r="B11" s="176" t="str">
        <x:v>M2.5×12 socket cap screws</x:v>
      </x:c>
      <x:c r="C11" s="176" t="str">
        <x:v>Micro Fasteners</x:v>
      </x:c>
      <x:c r="D11" s="192" t="str">
        <x:v>https://www.microfasteners.com/products/scm2512</x:v>
      </x:c>
      <x:c r="E11" s="176" t="str">
        <x:v>Order Now row 11</x:v>
      </x:c>
    </x:row>
    <x:row r="12" ht="15" hidden="0" customHeight="1">
      <x:c r="A12" s="176" t="str">
        <x:v>Order Now</x:v>
      </x:c>
      <x:c r="B12" s="176" t="str">
        <x:v>M3×6 socket cap screws</x:v>
      </x:c>
      <x:c r="C12" s="176" t="str">
        <x:v>Micro Fasteners</x:v>
      </x:c>
      <x:c r="D12" s="192" t="str">
        <x:v>https://www.microfasteners.com/products/scm3006</x:v>
      </x:c>
      <x:c r="E12" s="176" t="str">
        <x:v>Order Now row 12</x:v>
      </x:c>
    </x:row>
    <x:row r="13" ht="15" hidden="0" customHeight="1">
      <x:c r="A13" s="176" t="str">
        <x:v>Order Now</x:v>
      </x:c>
      <x:c r="B13" s="176" t="str">
        <x:v>M3×8 socket cap screws</x:v>
      </x:c>
      <x:c r="C13" s="176" t="str">
        <x:v>Micro Fasteners</x:v>
      </x:c>
      <x:c r="D13" s="192" t="str">
        <x:v>https://www.microfasteners.com/products/scm3008</x:v>
      </x:c>
      <x:c r="E13" s="176" t="str">
        <x:v>Order Now row 13</x:v>
      </x:c>
    </x:row>
    <x:row r="14" ht="15" hidden="0" customHeight="1">
      <x:c r="A14" s="176" t="str">
        <x:v>Order Now</x:v>
      </x:c>
      <x:c r="B14" s="176" t="str">
        <x:v>M3×10 socket cap screws</x:v>
      </x:c>
      <x:c r="C14" s="176" t="str">
        <x:v>Micro Fasteners</x:v>
      </x:c>
      <x:c r="D14" s="192" t="str">
        <x:v>https://www.microfasteners.com/products/scm3010</x:v>
      </x:c>
      <x:c r="E14" s="176" t="str">
        <x:v>Order Now row 14</x:v>
      </x:c>
    </x:row>
    <x:row r="15" ht="15" hidden="0" customHeight="1">
      <x:c r="A15" s="176" t="str">
        <x:v>Order Now</x:v>
      </x:c>
      <x:c r="B15" s="176" t="str">
        <x:v>M3×16 socket cap screws</x:v>
      </x:c>
      <x:c r="C15" s="176" t="str">
        <x:v>Micro Fasteners</x:v>
      </x:c>
      <x:c r="D15" s="192" t="str">
        <x:v>https://www.microfasteners.com/products/scm3016</x:v>
      </x:c>
      <x:c r="E15" s="176" t="str">
        <x:v>Order Now row 15</x:v>
      </x:c>
    </x:row>
    <x:row r="16" ht="15" hidden="0" customHeight="1">
      <x:c r="A16" s="176" t="str">
        <x:v>Order Now</x:v>
      </x:c>
      <x:c r="B16" s="176" t="str">
        <x:v>M4×10 socket cap screws</x:v>
      </x:c>
      <x:c r="C16" s="176" t="str">
        <x:v>Micro Fasteners</x:v>
      </x:c>
      <x:c r="D16" s="192" t="str">
        <x:v>https://www.microfasteners.com/products/scm4010</x:v>
      </x:c>
      <x:c r="E16" s="176" t="str">
        <x:v>Order Now row 16</x:v>
      </x:c>
    </x:row>
    <x:row r="17" ht="15" hidden="0" customHeight="1">
      <x:c r="A17" s="176" t="str">
        <x:v>Owned / verify</x:v>
      </x:c>
      <x:c r="B17" s="176" t="str">
        <x:v>Voron-style M3 heat-set inserts</x:v>
      </x:c>
      <x:c r="C17" s="176" t="str">
        <x:v>AliExpress — owner order</x:v>
      </x:c>
      <x:c r="D17" s="192" t="str">
        <x:v>Owner AliExpress order URL / variant not recorded</x:v>
      </x:c>
      <x:c r="E17" s="176" t="str">
        <x:v>Owned &amp; Printed row 16; evidence/inserts/2026-09-02_received/README.md</x:v>
      </x:c>
    </x:row>
    <x:row r="18" ht="15" hidden="0" customHeight="1">
      <x:c r="A18" s="176" t="str">
        <x:v>Order Now</x:v>
      </x:c>
      <x:c r="B18" s="176" t="str">
        <x:v>M4 heat/ultrasonic inserts</x:v>
      </x:c>
      <x:c r="C18" s="176" t="str">
        <x:v>PSM Fasteners</x:v>
      </x:c>
      <x:c r="D18" s="192" t="str">
        <x:v>https://psmfasteners.com/product/inserts-for-plastics-m4-x-5-8-tech-sonic-brass-oal-5-8mm-tecbm4-5-8/</x:v>
      </x:c>
      <x:c r="E18" s="176" t="str">
        <x:v>Order Now row 18</x:v>
      </x:c>
    </x:row>
    <x:row r="19" ht="15" hidden="0" customHeight="1">
      <x:c r="A19" s="176" t="str">
        <x:v>Order Now</x:v>
      </x:c>
      <x:c r="B19" s="176" t="str">
        <x:v>6800-2RS bearing</x:v>
      </x:c>
      <x:c r="C19" s="176" t="str">
        <x:v>Walmart</x:v>
      </x:c>
      <x:c r="D19" s="192" t="str">
        <x:v>https://www.walmart.com/ip/254282044</x:v>
      </x:c>
      <x:c r="E19" s="176" t="str">
        <x:v>Order Now row 19</x:v>
      </x:c>
    </x:row>
    <x:row r="20" ht="15" hidden="0" customHeight="1">
      <x:c r="A20" s="176" t="str">
        <x:v>Order Now</x:v>
      </x:c>
      <x:c r="B20" s="176" t="str">
        <x:v>M3 plain washers</x:v>
      </x:c>
      <x:c r="C20" s="176" t="str">
        <x:v>Maedler North America</x:v>
      </x:c>
      <x:c r="D20" s="192" t="str">
        <x:v>https://maedlernorthamerica.com/partshop/washer-din-en-iso-7089-din-125-a-for-m3-32x70x05mm-material-steel-zinc-plated-pn-65315300/</x:v>
      </x:c>
      <x:c r="E20" s="176" t="str">
        <x:v>Order Now row 20</x:v>
      </x:c>
    </x:row>
    <x:row r="21" ht="15" hidden="0" customHeight="1">
      <x:c r="A21" s="176" t="str">
        <x:v>Order Now</x:v>
      </x:c>
      <x:c r="B21" s="176" t="str">
        <x:v>M5 plain washers</x:v>
      </x:c>
      <x:c r="C21" s="176" t="str">
        <x:v>Maedler North America</x:v>
      </x:c>
      <x:c r="D21" s="192" t="str">
        <x:v>https://maedlernorthamerica.com/partshop/washer-din-en-iso-7089-din-125-a-for-m5-53x100x10mm-material-steel-zinc-plated-pn-65315500/</x:v>
      </x:c>
      <x:c r="E21" s="176" t="str">
        <x:v>Order Now row 21</x:v>
      </x:c>
    </x:row>
    <x:row r="22" ht="15" hidden="0" customHeight="1">
      <x:c r="A22" s="176" t="str">
        <x:v>Order Now</x:v>
      </x:c>
      <x:c r="B22" s="176" t="str">
        <x:v>M5 shim rings — 0.2 mm</x:v>
      </x:c>
      <x:c r="C22" s="176" t="str">
        <x:v>Maedler North America</x:v>
      </x:c>
      <x:c r="D22" s="192" t="str">
        <x:v>https://maedlernorthamerica.com/partshop/shim-ring-din-988-05-x-10-x-02-material-steel-dc01-c590-pn-624305102/</x:v>
      </x:c>
      <x:c r="E22" s="176" t="str">
        <x:v>Order Now row 22</x:v>
      </x:c>
    </x:row>
    <x:row r="23" ht="15" hidden="0" customHeight="1">
      <x:c r="A23" s="176" t="str">
        <x:v>Order Now</x:v>
      </x:c>
      <x:c r="B23" s="176" t="str">
        <x:v>M5 shim rings — 0.3 mm</x:v>
      </x:c>
      <x:c r="C23" s="176" t="str">
        <x:v>Maedler North America</x:v>
      </x:c>
      <x:c r="D23" s="192" t="str">
        <x:v>https://maedlernorthamerica.com/?s=624305104&amp;post_type=product</x:v>
      </x:c>
      <x:c r="E23" s="176" t="str">
        <x:v>Order Now row 23</x:v>
      </x:c>
    </x:row>
    <x:row r="24" ht="15" hidden="0" customHeight="1">
      <x:c r="A24" s="176" t="str">
        <x:v>Order Now</x:v>
      </x:c>
      <x:c r="B24" s="176" t="str">
        <x:v>M5 shim rings — 0.5 mm</x:v>
      </x:c>
      <x:c r="C24" s="176" t="str">
        <x:v>Maedler North America</x:v>
      </x:c>
      <x:c r="D24" s="192" t="str">
        <x:v>https://maedlernorthamerica.com/partshop/shim-ring-din-988-05-x-10-x-05-material-steel-dc01-c590-pn-624305105/</x:v>
      </x:c>
      <x:c r="E24" s="176" t="str">
        <x:v>Order Now row 24</x:v>
      </x:c>
    </x:row>
    <x:row r="25" ht="15" hidden="0" customHeight="1">
      <x:c r="A25" s="176" t="str">
        <x:v>Order Now</x:v>
      </x:c>
      <x:c r="B25" s="176" t="str">
        <x:v>Ø4 × 10 hardened dowel</x:v>
      </x:c>
      <x:c r="C25" s="176" t="str">
        <x:v>Olander</x:v>
      </x:c>
      <x:c r="D25" s="192" t="str">
        <x:v>https://www.olander.com/items/.4R10DOWA</x:v>
      </x:c>
      <x:c r="E25" s="176" t="str">
        <x:v>Order Now row 25</x:v>
      </x:c>
    </x:row>
    <x:row r="26" ht="15" hidden="0" customHeight="1">
      <x:c r="A26" s="176" t="str">
        <x:v>Now if missing</x:v>
      </x:c>
      <x:c r="B26" s="176" t="str">
        <x:v>XT30 connector pair</x:v>
      </x:c>
      <x:c r="C26" s="176" t="str">
        <x:v>Stevens Aero</x:v>
      </x:c>
      <x:c r="D26" s="192" t="str">
        <x:v>https://www.stevensaero.com/product/xt30-connector-pair/</x:v>
      </x:c>
      <x:c r="E26" s="176" t="str">
        <x:v>Conditional row 5</x:v>
      </x:c>
    </x:row>
    <x:row r="27" ht="15" hidden="0" customHeight="1">
      <x:c r="A27" s="176" t="str">
        <x:v>Now if missing</x:v>
      </x:c>
      <x:c r="B27" s="176" t="str">
        <x:v>18 AWG red/black silicone wire</x:v>
      </x:c>
      <x:c r="C27" s="176" t="str">
        <x:v>Fermerry</x:v>
      </x:c>
      <x:c r="D27" s="192" t="str">
        <x:v>https://www.fermerry.com/products/fermerry-18awg-silicone-wire-electric-wire-connectors-hook-up-wire-kit-18-gauge-black-and-red-10ft-each-flexible-electric-stranded-tinned-copper-wire</x:v>
      </x:c>
      <x:c r="E27" s="176" t="str">
        <x:v>Conditional row 6</x:v>
      </x:c>
    </x:row>
    <x:row r="28" ht="15" hidden="0" customHeight="1">
      <x:c r="A28" s="176" t="str">
        <x:v>Now if missing</x:v>
      </x:c>
      <x:c r="B28" s="176" t="str">
        <x:v>Dial indicator + magnetic base</x:v>
      </x:c>
      <x:c r="C28" s="176" t="str">
        <x:v>ProlineMax</x:v>
      </x:c>
      <x:c r="D28" s="192" t="str">
        <x:v>https://www.prolinemax.com/products/0-1-dial-indicator-with-130-lbs-fine-adjustment-magnetic-base-lug-back-grad</x:v>
      </x:c>
      <x:c r="E28" s="176" t="str">
        <x:v>Conditional row 7</x:v>
      </x:c>
    </x:row>
    <x:row r="29" ht="15" hidden="0" customHeight="1">
      <x:c r="A29" s="176" t="str">
        <x:v>Now if missing</x:v>
      </x:c>
      <x:c r="B29" s="176" t="str">
        <x:v>Digital multimeter</x:v>
      </x:c>
      <x:c r="C29" s="176" t="str">
        <x:v>Harbor Freight</x:v>
      </x:c>
      <x:c r="D29" s="192" t="str">
        <x:v>https://www.harborfreight.com/automotive/diagnostic-testing-scanning/7-function-digital-multimeter-59434.html</x:v>
      </x:c>
      <x:c r="E29" s="176" t="str">
        <x:v>Conditional row 8</x:v>
      </x:c>
    </x:row>
    <x:row r="30" ht="15" hidden="0" customHeight="1">
      <x:c r="A30" s="176" t="str">
        <x:v>Two-leg structural build</x:v>
      </x:c>
      <x:c r="B30" s="176" t="str">
        <x:v>5 kg / 11 lb digital kitchen scale</x:v>
      </x:c>
      <x:c r="C30" s="176" t="str">
        <x:v>Target</x:v>
      </x:c>
      <x:c r="D30" s="192" t="str">
        <x:v>https://www.target.com/p/-/A-94283716</x:v>
      </x:c>
      <x:c r="E30" s="176" t="str">
        <x:v>Conditional row 9</x:v>
      </x:c>
    </x:row>
    <x:row r="31" ht="15" hidden="0" customHeight="1">
      <x:c r="A31" s="176" t="str">
        <x:v>Now if missing</x:v>
      </x:c>
      <x:c r="B31" s="176" t="str">
        <x:v>Metric ball-end hex key set</x:v>
      </x:c>
      <x:c r="C31" s="176" t="str">
        <x:v>Harbor Freight</x:v>
      </x:c>
      <x:c r="D31" s="192" t="str">
        <x:v>https://www.harborfreight.com/13-piece-metric-ball-end-hex-key-set-96416.html</x:v>
      </x:c>
      <x:c r="E31" s="176" t="str">
        <x:v>Conditional row 10</x:v>
      </x:c>
    </x:row>
    <x:row r="32" ht="15" hidden="0" customHeight="1">
      <x:c r="A32" s="176" t="str">
        <x:v>Print only if missing</x:v>
      </x:c>
      <x:c r="B32" s="176" t="str">
        <x:v>TPU 95A HF</x:v>
      </x:c>
      <x:c r="C32" s="176" t="str">
        <x:v>Bambu Lab</x:v>
      </x:c>
      <x:c r="D32" s="192" t="str">
        <x:v>https://us.store.bambulab.com/en/products/tpu-95a-hf?id=41469410574472</x:v>
      </x:c>
      <x:c r="E32" s="176" t="str">
        <x:v>Conditional row 11</x:v>
      </x:c>
    </x:row>
    <x:row r="33" ht="15" hidden="0" customHeight="1">
      <x:c r="A33" s="176" t="str">
        <x:v>Two-leg structural build</x:v>
      </x:c>
      <x:c r="B33" s="176" t="str">
        <x:v>PA6-CF</x:v>
      </x:c>
      <x:c r="C33" s="176" t="str">
        <x:v>Bambu Lab</x:v>
      </x:c>
      <x:c r="D33" s="192" t="str">
        <x:v>https://us.store.bambulab.com/collections/carbon-fiber/</x:v>
      </x:c>
      <x:c r="E33" s="176" t="str">
        <x:v>Conditional row 12</x:v>
      </x:c>
    </x:row>
    <x:row r="34" ht="15" hidden="0" customHeight="1">
      <x:c r="A34" s="176" t="str">
        <x:v>Two-leg structural build</x:v>
      </x:c>
      <x:c r="B34" s="176" t="str">
        <x:v>0.6 mm hardened hotend</x:v>
      </x:c>
      <x:c r="C34" s="176" t="str">
        <x:v>Bambu Lab</x:v>
      </x:c>
      <x:c r="D34" s="192" t="str">
        <x:v>https://us.store.bambulab.com/en/products/bambu-hotend-h2-series?id=576603246412849170</x:v>
      </x:c>
      <x:c r="E34" s="176" t="str">
        <x:v>Conditional row 13</x:v>
      </x:c>
    </x:row>
    <x:row r="35" ht="42" hidden="0" customHeight="1">
      <x:c r="A35" s="176" t="str">
        <x:v>Deferred</x:v>
      </x:c>
      <x:c r="B35" s="176" t="str">
        <x:v>Knee spring: original 55 mm RFQ (deferred)</x:v>
      </x:c>
      <x:c r="C35" s="176" t="str">
        <x:v>American Precision Spring</x:v>
      </x:c>
      <x:c r="D35" s="192" t="str">
        <x:v>https://americanprecspring.com/</x:v>
      </x:c>
      <x:c r="E35" s="176" t="str">
        <x:v>Keep the owned 50 mm spring. Baseline supplier reference only.</x:v>
      </x:c>
    </x:row>
    <x:row r="36" ht="15" hidden="0" customHeight="1">
      <x:c r="A36" s="176" t="str">
        <x:v>Ordered / verify</x:v>
      </x:c>
      <x:c r="B36" s="176" t="str">
        <x:v>Candidate Ø10 × 35 knee pins (h6/h5 not yet evidenced)</x:v>
      </x:c>
      <x:c r="C36" s="176" t="str">
        <x:v>eBay — owner order</x:v>
      </x:c>
      <x:c r="D36" s="192" t="str">
        <x:v>Owner eBay listing URL / item ID not recorded</x:v>
      </x:c>
      <x:c r="E36" s="176" t="str">
        <x:v>RFQ &amp; Holds row 6; owner report 2026-09-02</x:v>
      </x:c>
    </x:row>
    <x:row r="37" ht="15" hidden="0" customHeight="1">
      <x:c r="A37" s="176" t="str">
        <x:v>RFQ now</x:v>
      </x:c>
      <x:c r="B37" s="176" t="str">
        <x:v>Ø6 h6 × 9 hardened ground dowel</x:v>
      </x:c>
      <x:c r="C37" s="176" t="str">
        <x:v>Ondrives US</x:v>
      </x:c>
      <x:c r="D37" s="192" t="str">
        <x:v>https://www.ondrivesus.com/custom-dowels</x:v>
      </x:c>
      <x:c r="E37" s="176" t="str">
        <x:v>RFQ &amp; Holds row 7</x:v>
      </x:c>
    </x:row>
    <x:row r="38" ht="15" hidden="0" customHeight="1">
      <x:c r="A38" s="176" t="str">
        <x:v>RFQ / verify</x:v>
      </x:c>
      <x:c r="B38" s="176" t="str">
        <x:v>Ø5 h6 × 50 hardened ground shaft</x:v>
      </x:c>
      <x:c r="C38" s="176" t="str">
        <x:v>TR Fastenings</x:v>
      </x:c>
      <x:c r="D38" s="192" t="str">
        <x:v>https://www.trfastenings.com/products/Catalogue/Pins-and-keys/Pins/Parallel-Dowel/DIN6325-h6-Tolerance/TR00033487-000</x:v>
      </x:c>
      <x:c r="E38" s="176" t="str">
        <x:v>RFQ &amp; Holds row 8</x:v>
      </x:c>
    </x:row>
    <x:row r="39" ht="15" hidden="0" customHeight="1">
      <x:c r="A39" s="176" t="str">
        <x:v>RFQ now</x:v>
      </x:c>
      <x:c r="B39" s="176" t="str">
        <x:v>Ø19 / Ø13.6 × 0.5 shim washers</x:v>
      </x:c>
      <x:c r="C39" s="176" t="str">
        <x:v>The Shim Shack</x:v>
      </x:c>
      <x:c r="D39" s="192" t="str">
        <x:v>https://pre.theshimshack.com/submit-drawing</x:v>
      </x:c>
      <x:c r="E39" s="176" t="str">
        <x:v>RFQ &amp; Holds row 9</x:v>
      </x:c>
    </x:row>
    <x:row r="40" ht="42" hidden="0" customHeight="1">
      <x:c r="A40" s="176" t="str">
        <x:v>Deferred</x:v>
      </x:c>
      <x:c r="B40" s="176" t="str">
        <x:v>Knee spring: original 55 mm RFQ (deferred)</x:v>
      </x:c>
      <x:c r="C40" s="176" t="str">
        <x:v>Advanced Precision Spring — San Jose</x:v>
      </x:c>
      <x:c r="D40" s="192" t="str">
        <x:v>https://apspring.com/</x:v>
      </x:c>
      <x:c r="E40" s="176" t="str">
        <x:v>Keep the owned 50 mm spring. Baseline supplier reference only.</x:v>
      </x:c>
    </x:row>
    <x:row r="41" ht="15" hidden="0" customHeight="1">
      <x:c r="A41" s="176" t="str">
        <x:v>RFQ fallback</x:v>
      </x:c>
      <x:c r="B41" s="176" t="str">
        <x:v>Ø10 / Ø5 custom pins</x:v>
      </x:c>
      <x:c r="C41" s="176" t="str">
        <x:v>Ondrives US</x:v>
      </x:c>
      <x:c r="D41" s="192" t="str">
        <x:v>https://www.ondrivesus.com/custom-dowels</x:v>
      </x:c>
      <x:c r="E41" s="176" t="str">
        <x:v>Custom fallback</x:v>
      </x:c>
    </x:row>
    <x:row r="42">
      <x:c r="A42" s="213" t="str">
        <x:v>Ordered / in transit</x:v>
      </x:c>
      <x:c r="B42" s="213" t="str">
        <x:v>WAGO 221-413 lever connector</x:v>
      </x:c>
      <x:c r="C42" s="213" t="str">
        <x:v>DigiKey</x:v>
      </x:c>
      <x:c r="D42" s="213" t="str">
        <x:v>https://www.digikey.com/en/products/detail/wago-corporation/221-413/13549610</x:v>
      </x:c>
      <x:c r="E42" s="213" t="str">
        <x:v>Status &amp; Gaps ordered row 8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.670000076293945" hidden="0" customWidth="1"/>
    <x:col min="2" max="2" width="13.329999923706055" hidden="0" customWidth="1"/>
    <x:col min="3" max="3" width="21.110000610351562" hidden="0" customWidth="1"/>
    <x:col min="4" max="4" width="17.219999313354492" hidden="0" customWidth="1"/>
    <x:col min="5" max="5" width="30.559999465942383" hidden="0" customWidth="1"/>
    <x:col min="6" max="6" width="33.33000183105469" hidden="0" customWidth="1"/>
    <x:col min="7" max="7" width="17.219999313354492" hidden="0" customWidth="1"/>
    <x:col min="8" max="8" width="28.889999389648438" hidden="0" customWidth="1"/>
    <x:col min="9" max="9" width="25.559999465942383" hidden="0" customWidth="1"/>
  </x:cols>
  <x:sheetData>
    <x:row r="1" ht="28.5" customHeight="1">
      <x:c r="A1" s="236" t="str">
        <x:v>Mode A status — ordered inventory and remaining single-leg gaps</x:v>
      </x:c>
      <x:c r="B1" s="236"/>
      <x:c r="C1" s="236"/>
      <x:c r="D1" s="236"/>
      <x:c r="E1" s="236"/>
      <x:c r="F1" s="236"/>
      <x:c r="G1" s="236"/>
      <x:c r="H1" s="236"/>
      <x:c r="I1" s="236"/>
    </x:row>
    <x:row r="2" ht="21" customHeight="1">
      <x:c r="A2" s="237" t="str">
        <x:v>Updated 2026-09-02 • ordered/in transit is deliberately separate from owned • exact-fit hardware is not silently substituted</x:v>
      </x:c>
      <x:c r="B2" s="237"/>
      <x:c r="C2" s="237"/>
      <x:c r="D2" s="237"/>
      <x:c r="E2" s="237"/>
      <x:c r="F2" s="237"/>
      <x:c r="G2" s="237"/>
      <x:c r="H2" s="237"/>
      <x:c r="I2" s="237"/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</x:row>
    <x:row r="4">
      <x:c r="A4" s="239" t="str">
        <x:v>ORDERED / IN TRANSIT — DIGIKEY ORDER</x:v>
      </x:c>
      <x:c r="B4" s="239"/>
      <x:c r="C4" s="239"/>
      <x:c r="D4" s="239"/>
      <x:c r="E4" s="239"/>
      <x:c r="F4" s="239"/>
      <x:c r="G4" s="239"/>
      <x:c r="H4" s="239"/>
      <x:c r="I4" s="239"/>
    </x:row>
    <x:row r="5" ht="22.5" customHeight="1">
      <x:c r="A5" s="240" t="str">
        <x:v>Order date</x:v>
      </x:c>
      <x:c r="B5" s="240" t="str">
        <x:v>State</x:v>
      </x:c>
      <x:c r="C5" s="240" t="str">
        <x:v>Supplier</x:v>
      </x:c>
      <x:c r="D5" s="240" t="str">
        <x:v>Category</x:v>
      </x:c>
      <x:c r="E5" s="240" t="str">
        <x:v>Item</x:v>
      </x:c>
      <x:c r="F5" s="240" t="str">
        <x:v>DigiKey SKU</x:v>
      </x:c>
      <x:c r="G5" s="240" t="str">
        <x:v>Qty</x:v>
      </x:c>
      <x:c r="H5" s="240" t="str">
        <x:v>Intended use</x:v>
      </x:c>
      <x:c r="I5" s="240" t="str">
        <x:v>Receive &amp; verify</x:v>
      </x:c>
    </x:row>
    <x:row r="6" ht="54" customHeight="1">
      <x:c r="A6" s="241" t="str">
        <x:v>2026-08-31</x:v>
      </x:c>
      <x:c r="B6" s="242" t="str">
        <x:v>Ordered / in transit</x:v>
      </x:c>
      <x:c r="C6" s="242" t="str">
        <x:v>DigiKey</x:v>
      </x:c>
      <x:c r="D6" s="242" t="str">
        <x:v>CAN</x:v>
      </x:c>
      <x:c r="E6" s="242" t="str">
        <x:v>Adafruit CAN Pal 5708</x:v>
      </x:c>
      <x:c r="F6" s="242" t="str">
        <x:v>1528-5708-ND</x:v>
      </x:c>
      <x:c r="G6" s="242" t="n">
        <x:v>2</x:v>
      </x:c>
      <x:c r="H6" s="242" t="str">
        <x:v>One 3.3 V transceiver per Teensy CAN bus</x:v>
      </x:c>
      <x:c r="I6" s="242" t="str">
        <x:v>With each board unpowered, enable termination and measure CANH–CANL ≈120 Ω.</x:v>
      </x:c>
    </x:row>
    <x:row r="7" ht="54" customHeight="1">
      <x:c r="A7" s="241" t="str">
        <x:v>2026-08-31</x:v>
      </x:c>
      <x:c r="B7" s="242" t="str">
        <x:v>Ordered / in transit</x:v>
      </x:c>
      <x:c r="C7" s="242" t="str">
        <x:v>DigiKey</x:v>
      </x:c>
      <x:c r="D7" s="242" t="str">
        <x:v>Encoder</x:v>
      </x:c>
      <x:c r="E7" s="242" t="str">
        <x:v>AS5048A adapter board kit</x:v>
      </x:c>
      <x:c r="F7" s="242" t="str">
        <x:v>4991-AS5048AADAPTERBOARD-ND</x:v>
      </x:c>
      <x:c r="G7" s="242" t="n">
        <x:v>1</x:v>
      </x:c>
      <x:c r="H7" s="242" t="str">
        <x:v>Direct-SPI knee encoder</x:v>
      </x:c>
      <x:c r="I7" s="242" t="str">
        <x:v>Confirm the loose AS5000-MD6H-2 diametric magnet is physically in the bag.</x:v>
      </x:c>
    </x:row>
    <x:row r="8" ht="54" customHeight="1">
      <x:c r="A8" s="241" t="str">
        <x:v>2026-08-31</x:v>
      </x:c>
      <x:c r="B8" s="242" t="str">
        <x:v>Ordered / in transit</x:v>
      </x:c>
      <x:c r="C8" s="242" t="str">
        <x:v>DigiKey</x:v>
      </x:c>
      <x:c r="D8" s="242" t="str">
        <x:v>Encoder</x:v>
      </x:c>
      <x:c r="E8" s="242" t="str">
        <x:v>1×8 male header</x:v>
      </x:c>
      <x:c r="F8" s="242" t="str">
        <x:v>609-78511-108HLF-ND</x:v>
      </x:c>
      <x:c r="G8" s="242" t="n">
        <x:v>1</x:v>
      </x:c>
      <x:c r="H8" s="242" t="str">
        <x:v>Populate the adapter board's unpopulated P1</x:v>
      </x:c>
      <x:c r="I8" s="242" t="str">
        <x:v>Dry-fit orientation before soldering; inspect every joint after soldering.</x:v>
      </x:c>
    </x:row>
    <x:row r="9" ht="54" customHeight="1">
      <x:c r="A9" s="241" t="str">
        <x:v>2026-08-31</x:v>
      </x:c>
      <x:c r="B9" s="242" t="str">
        <x:v>Ordered / in transit</x:v>
      </x:c>
      <x:c r="C9" s="242" t="str">
        <x:v>DigiKey</x:v>
      </x:c>
      <x:c r="D9" s="242" t="str">
        <x:v>Power wiring</x:v>
      </x:c>
      <x:c r="E9" s="242" t="str">
        <x:v>WAGO 221-413 three-conductor lever connector</x:v>
      </x:c>
      <x:c r="F9" s="242" t="str">
        <x:v>2946-221-413-ND</x:v>
      </x:c>
      <x:c r="G9" s="242" t="n">
        <x:v>2</x:v>
      </x:c>
      <x:c r="H9" s="242" t="str">
        <x:v>Temporary bench power distribution; accepts the planned 18 AWG wire</x:v>
      </x:c>
      <x:c r="I9" s="242" t="str">
        <x:v>Verify genuine WAGO marking, lever action and full conductor insertion; tug-test each wire.</x:v>
      </x:c>
    </x:row>
    <x:row r="10" ht="72" customHeight="1">
      <x:c r="A10" s="248" t="str">
        <x:v>2026-09-02</x:v>
      </x:c>
      <x:c r="B10" s="248" t="str">
        <x:v>Ordered / in transit — verify</x:v>
      </x:c>
      <x:c r="C10" s="248" t="str">
        <x:v>eBay — owner report</x:v>
      </x:c>
      <x:c r="D10" s="248" t="str">
        <x:v>Pins</x:v>
      </x:c>
      <x:c r="E10" s="248" t="str">
        <x:v>Candidate knee pins; believed set of 3</x:v>
      </x:c>
      <x:c r="F10" s="248" t="str">
        <x:v>Listing / item ID not recorded</x:v>
      </x:c>
      <x:c r="G10" s="248" t="str">
        <x:v>3? — verify</x:v>
      </x:c>
      <x:c r="H10" s="248" t="str">
        <x:v>Candidate Ø10 h6/h5 × 35 mm knee axle and fit gate</x:v>
      </x:c>
      <x:c r="I10" s="248" t="str">
        <x:v>On arrival, record the listing and count; verify Ø10 × 35, h6/h5 evidence, bearing hand fit and vertical coupon fit. ETA owner estimate: roughly two weeks or later.</x:v>
      </x:c>
    </x:row>
    <x:row r="11" ht="36" customHeight="1">
      <x:c r="A11" s="239" t="str">
        <x:v>INITIAL SINGLE-LEG TEST READINESS</x:v>
      </x:c>
      <x:c r="B11" s="239"/>
      <x:c r="C11" s="239"/>
      <x:c r="D11" s="239"/>
      <x:c r="E11" s="239"/>
      <x:c r="F11" s="239"/>
      <x:c r="G11" s="239"/>
      <x:c r="H11" s="239"/>
      <x:c r="I11" s="239"/>
    </x:row>
    <x:row r="12" ht="27" customHeight="1">
      <x:c r="A12" s="240" t="str">
        <x:v>Phase / gate</x:v>
      </x:c>
      <x:c r="B12" s="240" t="str">
        <x:v>State</x:v>
      </x:c>
      <x:c r="C12" s="240" t="str">
        <x:v>Item</x:v>
      </x:c>
      <x:c r="D12" s="240" t="str">
        <x:v>Where tracked</x:v>
      </x:c>
      <x:c r="E12" s="240" t="str">
        <x:v>Next action</x:v>
      </x:c>
      <x:c r="F12" s="240" t="str">
        <x:v>Why / compatibility</x:v>
      </x:c>
      <x:c r="G12" s="240" t="str">
        <x:v>Buy timing</x:v>
      </x:c>
      <x:c r="H12" s="240" t="str">
        <x:v>Lowest-cost path</x:v>
      </x:c>
      <x:c r="I12" s="240" t="str">
        <x:v>Source / evidence</x:v>
      </x:c>
    </x:row>
    <x:row r="13" ht="57" customHeight="1">
      <x:c r="A13" s="243" t="str">
        <x:v>ABS fit</x:v>
      </x:c>
      <x:c r="B13" s="244" t="str">
        <x:v>ORDERED — VERIFY</x:v>
      </x:c>
      <x:c r="C13" s="243" t="str">
        <x:v>eBay candidate knee pins; believed set of 3</x:v>
      </x:c>
      <x:c r="D13" s="243" t="str">
        <x:v>RFQ &amp; Holds row 6 / owner report 2026-09-02</x:v>
      </x:c>
      <x:c r="E13" s="243" t="str">
        <x:v>Wait for arrival; record listing and quantity, then verify Ø10 × 35 mm plus h6/h5 evidence, both bearing bores and the vertical fit coupon.</x:v>
      </x:c>
      <x:c r="F13" s="243" t="str">
        <x:v>A common m6 dowel can be oversize. A printed ABS pin is only a supported hand-alignment placeholder and cannot clear this gate.</x:v>
      </x:c>
      <x:c r="G13" s="243" t="str">
        <x:v>ETA roughly 2026-09-16 or later — verify</x:v>
      </x:c>
      <x:c r="H13" s="243" t="str">
        <x:v>$0 additional now; use the eBay order if it proves compliant.</x:v>
      </x:c>
      <x:c r="I13" s="243" t="str">
        <x:v>Owner report only; seller listing and package evidence pending</x:v>
      </x:c>
    </x:row>
    <x:row r="14" ht="57" customHeight="1">
      <x:c r="A14" s="243" t="str">
        <x:v>ABS fit</x:v>
      </x:c>
      <x:c r="B14" s="245" t="str">
        <x:v>COMPLETE</x:v>
      </x:c>
      <x:c r="C14" s="243" t="str">
        <x:v>6800 bearing ladder + full-depth proximal link</x:v>
      </x:c>
      <x:c r="D14" s="243" t="str">
        <x:v>evidence/knee_fit/2026-09-02_proximal_link_full_depth</x:v>
      </x:c>
      <x:c r="E14" s="243" t="str">
        <x:v>Keep the existing Ø19.10 ABS link; use Ø19.15 as the preferred compensation for any future ABS proximal print.</x:v>
      </x:c>
      <x:c r="F14" s="243" t="str">
        <x:v>The full-depth Ø19.10 seats accepted both bearings but were slightly tighter than preferred. The ladder's Ø19.15 bore has no movement and accepts easier thumb pressure.</x:v>
      </x:c>
      <x:c r="G14" s="243" t="str">
        <x:v>Complete 2026-09-02</x:v>
      </x:c>
      <x:c r="H14" s="243" t="str">
        <x:v>$0 — no reprint required.</x:v>
      </x:c>
      <x:c r="I14" s="243" t="str">
        <x:v>README.md lines 38–46</x:v>
      </x:c>
    </x:row>
    <x:row r="15" ht="57" customHeight="1">
      <x:c r="A15" s="243" t="str">
        <x:v>Bench electronics</x:v>
      </x:c>
      <x:c r="B15" s="245" t="str">
        <x:v>PARTLY ORDERED</x:v>
      </x:c>
      <x:c r="C15" s="243" t="str">
        <x:v>CAN + encoder ordered; bench PSU and microSD remain open</x:v>
      </x:c>
      <x:c r="D15" s="243" t="str">
        <x:v>Order Now rows 5–9</x:v>
      </x:c>
      <x:c r="E15" s="243" t="str">
        <x:v>Receive/verify DigiKey parts; buy/borrow current-limited PSU and obtain tested microSD before powered work.</x:v>
      </x:c>
      <x:c r="F15" s="243" t="str">
        <x:v>CAN/encoder parts are compatible with the Teensy 3.3 V path; the actuator stage still needs a 20 V current-limited source.</x:v>
      </x:c>
      <x:c r="G15" s="243" t="str">
        <x:v>Before steps 1–2</x:v>
      </x:c>
      <x:c r="H15" s="243" t="str">
        <x:v>Use existing USB power for logic-only checks; do not power an actuator without a current-limited supply.</x:v>
      </x:c>
      <x:c r="I15" s="243" t="str">
        <x:v>electronics/07_bom.md Wave 0</x:v>
      </x:c>
    </x:row>
    <x:row r="16" ht="57" customHeight="1">
      <x:c r="A16" s="243" t="str">
        <x:v>Mechanical assembly</x:v>
      </x:c>
      <x:c r="B16" s="246" t="str">
        <x:v>SPRING OWNED; ADAPT CAD</x:v>
      </x:c>
      <x:c r="C16" s="243" t="str">
        <x:v>Owned 50 mm spring; stop pin, guide shaft and revised preload hardware remain open.</x:v>
      </x:c>
      <x:c r="D16" s="243" t="str">
        <x:v>RFQ &amp; Holds rows 5, 7–9</x:v>
      </x:c>
      <x:c r="E16" s="243" t="str">
        <x:v>Adapt the cartridge to the owned Yellow OD18 / ID9 x 50 mm spring. Continue springless ABS fit and hand assembly until the cartridge is verified.</x:v>
      </x:c>
      <x:c r="F16" s="243" t="str">
        <x:v>The spring length is confirmed. Seats and internal stop/bumper still require redesign and rate verification.</x:v>
      </x:c>
      <x:c r="G16" s="243" t="str">
        <x:v>Active now through unloaded single-leg commissioning.</x:v>
      </x:c>
      <x:c r="H16" s="243" t="str">
        <x:v>Keep the owned spring; no replacement for length is needed. No spring preload or structural loads through ABS.</x:v>
      </x:c>
      <x:c r="I16" s="243" t="str">
        <x:v>https://github.com/TnnsBeast/Biped/tree/main/evidence/springs/2026-09-05_reconciliation</x:v>
      </x:c>
    </x:row>
    <x:row r="17" ht="57" customHeight="1">
      <x:c r="A17" s="243" t="str">
        <x:v>Mechanical assembly</x:v>
      </x:c>
      <x:c r="B17" s="244" t="str">
        <x:v>DESIGN HOLD</x:v>
      </x:c>
      <x:c r="C17" s="243" t="str">
        <x:v>2 × Ø4 × 32 clevis pins plus retention</x:v>
      </x:c>
      <x:c r="D17" s="243" t="str">
        <x:v>RFQ &amp; Holds row 10</x:v>
      </x:c>
      <x:c r="E17" s="243" t="str">
        <x:v>Close the retention scheme in Fusion before buying pin/ring/cotter hardware.</x:v>
      </x:c>
      <x:c r="F17" s="243" t="str">
        <x:v>The active body has no verified E-clip groove or cross-hole; the cartridge must not shed a pin.</x:v>
      </x:c>
      <x:c r="G17" s="243" t="str">
        <x:v>Before installing spring cartridge</x:v>
      </x:c>
      <x:c r="H17" s="243" t="str">
        <x:v>Do not buy twice; wait for the exact retention geometry.</x:v>
      </x:c>
      <x:c r="I17" s="243" t="str">
        <x:v>Fusion hold recorded in workbook</x:v>
      </x:c>
    </x:row>
    <x:row r="18" ht="57" customHeight="1">
      <x:c r="A18" s="243" t="str">
        <x:v>Knee bearing stack</x:v>
      </x:c>
      <x:c r="B18" s="246" t="str">
        <x:v>CHECK WORKSHOP</x:v>
      </x:c>
      <x:c r="C18" s="243" t="str">
        <x:v>2 × PTFE/POM thrust washers, Ø22/Ø16.5 × 0.5, as required</x:v>
      </x:c>
      <x:c r="D18" s="243" t="str">
        <x:v>Not previously in procurement tracker</x:v>
      </x:c>
      <x:c r="E18" s="243" t="str">
        <x:v>Dry-fit the exact pin/link stack; buy only if axial fit calls for them, and keep the stated dimensions.</x:v>
      </x:c>
      <x:c r="F18" s="243" t="str">
        <x:v>The assembly BOM places one washer on each side of the distal link; they are explicitly 'as required.'</x:v>
      </x:c>
      <x:c r="G18" s="243" t="str">
        <x:v>Before final knee assembly</x:v>
      </x:c>
      <x:c r="H18" s="243" t="str">
        <x:v>Inventory first; do not buy a 50-piece specialty pack unless the dry fit proves the need.</x:v>
      </x:c>
      <x:c r="I18" s="243" t="str">
        <x:v>beni_prototype1_bom_and_assembly.md A1</x:v>
      </x:c>
    </x:row>
    <x:row r="19" ht="57" customHeight="1">
      <x:c r="A19" s="243" t="str">
        <x:v>Assembly consumables</x:v>
      </x:c>
      <x:c r="B19" s="246" t="str">
        <x:v>CHECK WORKSHOP</x:v>
      </x:c>
      <x:c r="C19" s="243" t="str">
        <x:v>M3 set screw, retaining compound and magnet adhesive</x:v>
      </x:c>
      <x:c r="D19" s="243" t="str">
        <x:v>Not previously in procurement tracker</x:v>
      </x:c>
      <x:c r="E19" s="243" t="str">
        <x:v>Confirm compatible sizes/chemistry after the printed collar and carrier are dry-fitted.</x:v>
      </x:c>
      <x:c r="F19" s="243" t="str">
        <x:v>The active knee retention uses an M3 set screw plus retaining compound; the diametric magnet must be bonded securely.</x:v>
      </x:c>
      <x:c r="G19" s="243" t="str">
        <x:v>Before final knee assembly</x:v>
      </x:c>
      <x:c r="H19" s="243" t="str">
        <x:v>Use existing workshop stock if suitable; these are tiny quantities.</x:v>
      </x:c>
      <x:c r="I19" s="243" t="str">
        <x:v>beni_single_leg_rig_design_record.md §4</x:v>
      </x:c>
    </x:row>
    <x:row r="20" ht="57" customHeight="1">
      <x:c r="A20" s="243" t="str">
        <x:v>Mode A instruments</x:v>
      </x:c>
      <x:c r="B20" s="246" t="str">
        <x:v>CHECK / BORROW</x:v>
      </x:c>
      <x:c r="C20" s="243" t="str">
        <x:v>5 kg scale + known masses; dial indicator; DMM; 4-wire milliohm meter; 2-channel scope/logic analyzer</x:v>
      </x:c>
      <x:c r="D20" s="243" t="str">
        <x:v>Conditional plus test brief steps 2–4</x:v>
      </x:c>
      <x:c r="E20" s="243" t="str">
        <x:v>Use the DMM, 4-wire milliohm meter and 2-channel scope/logic tools for wiring, phase resistance, latency and the unloaded CAN soak; defer the scale and force/torque/spring instrumentation.</x:v>
      </x:c>
      <x:c r="F20" s="243" t="str">
        <x:v>Electrical characterization remains active; load metrology moves later.</x:v>
      </x:c>
      <x:c r="G20" s="243" t="str">
        <x:v>Electrical tools now; load metrology at the two-leg structural build.</x:v>
      </x:c>
      <x:c r="H20" s="243" t="str">
        <x:v>Do not let instrument availability expand the ABS test envelope.</x:v>
      </x:c>
      <x:c r="I20" s="243" t="str">
        <x:v>fusion_brief_single_leg_rig.md §6</x:v>
      </x:c>
    </x:row>
    <x:row r="21" ht="57" customHeight="1">
      <x:c r="A21" s="243" t="str">
        <x:v>Two-leg structural release</x:v>
      </x:c>
      <x:c r="B21" s="247" t="str">
        <x:v>DEFERRED — OWNER</x:v>
      </x:c>
      <x:c r="C21" s="243" t="str">
        <x:v>PA6-CF, hardened 0.6 mm hotend and material-specific coupons</x:v>
      </x:c>
      <x:c r="D21" s="243" t="str">
        <x:v>Owner scope decision 2026-09-02</x:v>
      </x:c>
      <x:c r="E21" s="243" t="str">
        <x:v>Finish the complete ABS single-leg integration article first; buy and calibrate PA-CF immediately before the later two-leg structural prints.</x:v>
      </x:c>
      <x:c r="F21" s="243" t="str">
        <x:v>ABS is valid for fit, assembly, cable routing, hand motion and wheel-clear/current-limited self-weight motor checks only. No spring characterization, ground traction, stall/proof torque or drops through ABS.</x:v>
      </x:c>
      <x:c r="G21" s="243" t="str">
        <x:v>At two-leg structural build</x:v>
      </x:c>
      <x:c r="H21" s="243" t="str">
        <x:v>Defer the spool and hotend; preserve the full ABS budget for integration iteration.</x:v>
      </x:c>
      <x:c r="I21" s="243" t="str">
        <x:v>CLAUDE.md hard rule 7</x:v>
      </x:c>
    </x:row>
    <x:row r="22" ht="112" customHeight="1">
      <x:c r="A22" s="278" t="str">
        <x:v>Threaded interfaces</x:v>
      </x:c>
      <x:c r="B22" s="282" t="str">
        <x:v>DESIGN HOLD</x:v>
      </x:c>
      <x:c r="C22" s="278" t="str">
        <x:v>Shoulder hub, wheel hub and stand insert receivers</x:v>
      </x:c>
      <x:c r="D22" s="278" t="str">
        <x:v>MANUFACTURING_CONSTRAINTS.md / RFQ &amp; Holds row 11</x:v>
      </x:c>
      <x:c r="E22" s="278" t="str">
        <x:v>Restore Fusion MCP; rebuild, inspect and export corrected parts. Do not print or assemble the current hub/stand/wheel-hub releases.</x:v>
      </x:c>
      <x:c r="F22" s="278" t="str">
        <x:v>The proximal link and cable cover already have valid Ø4.0 × 5.0 M3 pockets. Current hub/stand/wheel receiving interfaces do not satisfy the owned insert families.</x:v>
      </x:c>
      <x:c r="G22" s="278" t="str">
        <x:v>Before shoulder-to-link or wheel-rim assembly</x:v>
      </x:c>
      <x:c r="H22" s="278" t="str">
        <x:v>$0 M3 purchase now; M4 shoulder candidate remains open; wheel scheme waits for CAD closure.</x:v>
      </x:c>
      <x:c r="I22" s="278" t="str">
        <x:v>Insert evidence indexed 2026-09-02; corrected Fusion/STL evidence pending</x:v>
      </x:c>
    </x:row>
  </x:sheetData>
  <x:mergeCells>
    <x:mergeCell ref="A1:I1"/>
    <x:mergeCell ref="A2:I2"/>
    <x:mergeCell ref="A4:I4"/>
    <x:mergeCell ref="A11:I11"/>
  </x:mergeCells>
  <x:pageMargins left="0.7" right="0.7" top="0.75" bottom="0.75" header="0.3" footer="0.3"/>
  <x:tableParts count="2">
    <x:tablePart xmlns:r="http://schemas.openxmlformats.org/officeDocument/2006/relationships" r:id="Rc46d1c0d416b45f5"/>
    <x:tablePart xmlns:r="http://schemas.openxmlformats.org/officeDocument/2006/relationships" r:id="R5fa43da2da494a0d"/>
  </x:tableParts>
</x:worksheet>
</file>